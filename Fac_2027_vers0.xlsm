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sey &amp; Etan\Desktop\Dossier Balah\Facture Verion 2026\Facture 2027\Facture GitHub\Travaux octobre_2026\"/>
    </mc:Choice>
  </mc:AlternateContent>
  <xr:revisionPtr revIDLastSave="0" documentId="13_ncr:1_{67FC165A-F283-4E15-8BB1-E0BC13239BAE}" xr6:coauthVersionLast="47" xr6:coauthVersionMax="47" xr10:uidLastSave="{00000000-0000-0000-0000-000000000000}"/>
  <bookViews>
    <workbookView xWindow="-120" yWindow="-120" windowWidth="20730" windowHeight="11160" firstSheet="1" activeTab="9" xr2:uid="{E64FA49C-BB50-4E0B-976E-C5DB81498BDD}"/>
  </bookViews>
  <sheets>
    <sheet name="Clients" sheetId="2" r:id="rId1"/>
    <sheet name="Service_Tarifs" sheetId="3" r:id="rId2"/>
    <sheet name="Paramètres" sheetId="4" r:id="rId3"/>
    <sheet name="Dashboard" sheetId="16" r:id="rId4"/>
    <sheet name="Devis" sheetId="6" r:id="rId5"/>
    <sheet name="Paiement" sheetId="7" r:id="rId6"/>
    <sheet name="BL" sheetId="8" r:id="rId7"/>
    <sheet name="BR" sheetId="9" r:id="rId8"/>
    <sheet name="Stock" sheetId="10" r:id="rId9"/>
    <sheet name="Factures" sheetId="13" r:id="rId10"/>
  </sheets>
  <definedNames>
    <definedName name="DonnéesExternes_1" localSheetId="6" hidden="1">BL!$A$1:$I$3</definedName>
    <definedName name="DonnéesExternes_1" localSheetId="7" hidden="1">BR!$A$1:$H$3</definedName>
    <definedName name="DonnéesExternes_1" localSheetId="0" hidden="1">Clients!$A$1:$I$41</definedName>
    <definedName name="DonnéesExternes_1" localSheetId="4" hidden="1">Devis!$A$1:$O$3</definedName>
    <definedName name="DonnéesExternes_1" localSheetId="5" hidden="1">Paiement!$A$1:$H$3</definedName>
    <definedName name="DonnéesExternes_1" localSheetId="2" hidden="1">Paramètres!$D$1:$F$18</definedName>
    <definedName name="DonnéesExternes_1" localSheetId="1" hidden="1">Service_Tarifs!$A$1:$H$150</definedName>
    <definedName name="DonnéesExternes_1" localSheetId="8" hidden="1">Stock!$A$1:$L$3</definedName>
    <definedName name="ListeTypesFacture">Paramètres!#REF!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50" i="13" l="1"/>
  <c r="R150" i="13"/>
  <c r="K150" i="13"/>
  <c r="J150" i="13"/>
  <c r="I150" i="13"/>
  <c r="C150" i="13"/>
  <c r="B150" i="13"/>
  <c r="T149" i="13"/>
  <c r="R149" i="13"/>
  <c r="K149" i="13"/>
  <c r="N149" i="13" s="1"/>
  <c r="J149" i="13"/>
  <c r="I149" i="13"/>
  <c r="C149" i="13"/>
  <c r="B149" i="13"/>
  <c r="U149" i="13" s="1"/>
  <c r="T148" i="13"/>
  <c r="R148" i="13"/>
  <c r="J148" i="13"/>
  <c r="I148" i="13"/>
  <c r="K148" i="13" s="1"/>
  <c r="M148" i="13" s="1"/>
  <c r="C148" i="13"/>
  <c r="B148" i="13"/>
  <c r="U148" i="13" s="1"/>
  <c r="T147" i="13"/>
  <c r="R147" i="13"/>
  <c r="J147" i="13"/>
  <c r="I147" i="13"/>
  <c r="K147" i="13" s="1"/>
  <c r="C147" i="13"/>
  <c r="B147" i="13"/>
  <c r="U147" i="13" s="1"/>
  <c r="T146" i="13"/>
  <c r="R146" i="13"/>
  <c r="K146" i="13"/>
  <c r="J146" i="13"/>
  <c r="I146" i="13"/>
  <c r="C146" i="13"/>
  <c r="B146" i="13"/>
  <c r="T145" i="13"/>
  <c r="R145" i="13"/>
  <c r="K145" i="13"/>
  <c r="N145" i="13" s="1"/>
  <c r="J145" i="13"/>
  <c r="I145" i="13"/>
  <c r="C145" i="13"/>
  <c r="B145" i="13"/>
  <c r="U145" i="13" s="1"/>
  <c r="T144" i="13"/>
  <c r="R144" i="13"/>
  <c r="J144" i="13"/>
  <c r="I144" i="13"/>
  <c r="K144" i="13" s="1"/>
  <c r="M144" i="13" s="1"/>
  <c r="C144" i="13"/>
  <c r="B144" i="13"/>
  <c r="U144" i="13" s="1"/>
  <c r="T143" i="13"/>
  <c r="R143" i="13"/>
  <c r="J143" i="13"/>
  <c r="I143" i="13"/>
  <c r="K143" i="13" s="1"/>
  <c r="C143" i="13"/>
  <c r="B143" i="13"/>
  <c r="U143" i="13" s="1"/>
  <c r="T142" i="13"/>
  <c r="R142" i="13"/>
  <c r="K142" i="13"/>
  <c r="J142" i="13"/>
  <c r="I142" i="13"/>
  <c r="C142" i="13"/>
  <c r="B142" i="13"/>
  <c r="T141" i="13"/>
  <c r="R141" i="13"/>
  <c r="K141" i="13"/>
  <c r="N141" i="13" s="1"/>
  <c r="J141" i="13"/>
  <c r="I141" i="13"/>
  <c r="C141" i="13"/>
  <c r="B141" i="13"/>
  <c r="U141" i="13" s="1"/>
  <c r="T140" i="13"/>
  <c r="R140" i="13"/>
  <c r="J140" i="13"/>
  <c r="I140" i="13"/>
  <c r="K140" i="13" s="1"/>
  <c r="M140" i="13" s="1"/>
  <c r="C140" i="13"/>
  <c r="B140" i="13"/>
  <c r="U140" i="13" s="1"/>
  <c r="T139" i="13"/>
  <c r="R139" i="13"/>
  <c r="J139" i="13"/>
  <c r="I139" i="13"/>
  <c r="K139" i="13" s="1"/>
  <c r="C139" i="13"/>
  <c r="B139" i="13"/>
  <c r="T138" i="13"/>
  <c r="R138" i="13"/>
  <c r="K138" i="13"/>
  <c r="J138" i="13"/>
  <c r="I138" i="13"/>
  <c r="C138" i="13"/>
  <c r="B138" i="13"/>
  <c r="T137" i="13"/>
  <c r="R137" i="13"/>
  <c r="K137" i="13"/>
  <c r="N137" i="13" s="1"/>
  <c r="J137" i="13"/>
  <c r="I137" i="13"/>
  <c r="C137" i="13"/>
  <c r="B137" i="13"/>
  <c r="U137" i="13" s="1"/>
  <c r="T136" i="13"/>
  <c r="R136" i="13"/>
  <c r="J136" i="13"/>
  <c r="I136" i="13"/>
  <c r="K136" i="13" s="1"/>
  <c r="M136" i="13" s="1"/>
  <c r="C136" i="13"/>
  <c r="B136" i="13"/>
  <c r="U136" i="13" s="1"/>
  <c r="T135" i="13"/>
  <c r="R135" i="13"/>
  <c r="J135" i="13"/>
  <c r="I135" i="13"/>
  <c r="K135" i="13" s="1"/>
  <c r="C135" i="13"/>
  <c r="B135" i="13"/>
  <c r="T134" i="13"/>
  <c r="R134" i="13"/>
  <c r="K134" i="13"/>
  <c r="J134" i="13"/>
  <c r="I134" i="13"/>
  <c r="C134" i="13"/>
  <c r="B134" i="13"/>
  <c r="T133" i="13"/>
  <c r="R133" i="13"/>
  <c r="K133" i="13"/>
  <c r="N133" i="13" s="1"/>
  <c r="J133" i="13"/>
  <c r="I133" i="13"/>
  <c r="C133" i="13"/>
  <c r="B133" i="13"/>
  <c r="U133" i="13" s="1"/>
  <c r="T132" i="13"/>
  <c r="R132" i="13"/>
  <c r="N132" i="13"/>
  <c r="J132" i="13"/>
  <c r="I132" i="13"/>
  <c r="K132" i="13" s="1"/>
  <c r="M132" i="13" s="1"/>
  <c r="C132" i="13"/>
  <c r="B132" i="13"/>
  <c r="U132" i="13" s="1"/>
  <c r="T131" i="13"/>
  <c r="R131" i="13"/>
  <c r="J131" i="13"/>
  <c r="I131" i="13"/>
  <c r="K131" i="13" s="1"/>
  <c r="C131" i="13"/>
  <c r="B131" i="13"/>
  <c r="U131" i="13" s="1"/>
  <c r="T130" i="13"/>
  <c r="R130" i="13"/>
  <c r="K130" i="13"/>
  <c r="J130" i="13"/>
  <c r="I130" i="13"/>
  <c r="C130" i="13"/>
  <c r="B130" i="13"/>
  <c r="T129" i="13"/>
  <c r="R129" i="13"/>
  <c r="K129" i="13"/>
  <c r="N129" i="13" s="1"/>
  <c r="J129" i="13"/>
  <c r="I129" i="13"/>
  <c r="C129" i="13"/>
  <c r="B129" i="13"/>
  <c r="U129" i="13" s="1"/>
  <c r="T128" i="13"/>
  <c r="R128" i="13"/>
  <c r="N128" i="13"/>
  <c r="J128" i="13"/>
  <c r="I128" i="13"/>
  <c r="K128" i="13" s="1"/>
  <c r="M128" i="13" s="1"/>
  <c r="C128" i="13"/>
  <c r="B128" i="13"/>
  <c r="U128" i="13" s="1"/>
  <c r="T127" i="13"/>
  <c r="R127" i="13"/>
  <c r="J127" i="13"/>
  <c r="I127" i="13"/>
  <c r="K127" i="13" s="1"/>
  <c r="C127" i="13"/>
  <c r="B127" i="13"/>
  <c r="U127" i="13" s="1"/>
  <c r="T126" i="13"/>
  <c r="R126" i="13"/>
  <c r="K126" i="13"/>
  <c r="J126" i="13"/>
  <c r="I126" i="13"/>
  <c r="C126" i="13"/>
  <c r="B126" i="13"/>
  <c r="T125" i="13"/>
  <c r="R125" i="13"/>
  <c r="K125" i="13"/>
  <c r="N125" i="13" s="1"/>
  <c r="J125" i="13"/>
  <c r="I125" i="13"/>
  <c r="C125" i="13"/>
  <c r="B125" i="13"/>
  <c r="U125" i="13" s="1"/>
  <c r="T124" i="13"/>
  <c r="R124" i="13"/>
  <c r="J124" i="13"/>
  <c r="I124" i="13"/>
  <c r="K124" i="13" s="1"/>
  <c r="M124" i="13" s="1"/>
  <c r="C124" i="13"/>
  <c r="B124" i="13"/>
  <c r="U124" i="13" s="1"/>
  <c r="T123" i="13"/>
  <c r="R123" i="13"/>
  <c r="J123" i="13"/>
  <c r="I123" i="13"/>
  <c r="K123" i="13" s="1"/>
  <c r="C123" i="13"/>
  <c r="B123" i="13"/>
  <c r="U123" i="13" s="1"/>
  <c r="T122" i="13"/>
  <c r="R122" i="13"/>
  <c r="K122" i="13"/>
  <c r="J122" i="13"/>
  <c r="I122" i="13"/>
  <c r="C122" i="13"/>
  <c r="B122" i="13"/>
  <c r="T121" i="13"/>
  <c r="R121" i="13"/>
  <c r="K121" i="13"/>
  <c r="N121" i="13" s="1"/>
  <c r="J121" i="13"/>
  <c r="I121" i="13"/>
  <c r="C121" i="13"/>
  <c r="B121" i="13"/>
  <c r="U121" i="13" s="1"/>
  <c r="T120" i="13"/>
  <c r="R120" i="13"/>
  <c r="J120" i="13"/>
  <c r="I120" i="13"/>
  <c r="K120" i="13" s="1"/>
  <c r="M120" i="13" s="1"/>
  <c r="C120" i="13"/>
  <c r="B120" i="13"/>
  <c r="U120" i="13" s="1"/>
  <c r="T119" i="13"/>
  <c r="R119" i="13"/>
  <c r="J119" i="13"/>
  <c r="I119" i="13"/>
  <c r="K119" i="13" s="1"/>
  <c r="C119" i="13"/>
  <c r="B119" i="13"/>
  <c r="T118" i="13"/>
  <c r="R118" i="13"/>
  <c r="K118" i="13"/>
  <c r="J118" i="13"/>
  <c r="I118" i="13"/>
  <c r="C118" i="13"/>
  <c r="B118" i="13"/>
  <c r="T117" i="13"/>
  <c r="R117" i="13"/>
  <c r="M117" i="13"/>
  <c r="K117" i="13"/>
  <c r="N117" i="13" s="1"/>
  <c r="J117" i="13"/>
  <c r="I117" i="13"/>
  <c r="C117" i="13"/>
  <c r="B117" i="13"/>
  <c r="U117" i="13" s="1"/>
  <c r="T116" i="13"/>
  <c r="R116" i="13"/>
  <c r="N116" i="13"/>
  <c r="J116" i="13"/>
  <c r="I116" i="13"/>
  <c r="K116" i="13" s="1"/>
  <c r="M116" i="13" s="1"/>
  <c r="C116" i="13"/>
  <c r="B116" i="13"/>
  <c r="U116" i="13" s="1"/>
  <c r="T115" i="13"/>
  <c r="R115" i="13"/>
  <c r="J115" i="13"/>
  <c r="I115" i="13"/>
  <c r="K115" i="13" s="1"/>
  <c r="C115" i="13"/>
  <c r="B115" i="13"/>
  <c r="U115" i="13" s="1"/>
  <c r="T114" i="13"/>
  <c r="R114" i="13"/>
  <c r="K114" i="13"/>
  <c r="J114" i="13"/>
  <c r="I114" i="13"/>
  <c r="C114" i="13"/>
  <c r="B114" i="13"/>
  <c r="T113" i="13"/>
  <c r="R113" i="13"/>
  <c r="K113" i="13"/>
  <c r="N113" i="13" s="1"/>
  <c r="J113" i="13"/>
  <c r="I113" i="13"/>
  <c r="C113" i="13"/>
  <c r="B113" i="13"/>
  <c r="U113" i="13" s="1"/>
  <c r="T112" i="13"/>
  <c r="R112" i="13"/>
  <c r="J112" i="13"/>
  <c r="I112" i="13"/>
  <c r="K112" i="13" s="1"/>
  <c r="M112" i="13" s="1"/>
  <c r="C112" i="13"/>
  <c r="B112" i="13"/>
  <c r="U112" i="13" s="1"/>
  <c r="T111" i="13"/>
  <c r="R111" i="13"/>
  <c r="J111" i="13"/>
  <c r="I111" i="13"/>
  <c r="K111" i="13" s="1"/>
  <c r="C111" i="13"/>
  <c r="B111" i="13"/>
  <c r="T110" i="13"/>
  <c r="R110" i="13"/>
  <c r="K110" i="13"/>
  <c r="J110" i="13"/>
  <c r="I110" i="13"/>
  <c r="C110" i="13"/>
  <c r="B110" i="13"/>
  <c r="T109" i="13"/>
  <c r="R109" i="13"/>
  <c r="K109" i="13"/>
  <c r="N109" i="13" s="1"/>
  <c r="J109" i="13"/>
  <c r="I109" i="13"/>
  <c r="C109" i="13"/>
  <c r="B109" i="13"/>
  <c r="U109" i="13" s="1"/>
  <c r="T108" i="13"/>
  <c r="R108" i="13"/>
  <c r="J108" i="13"/>
  <c r="I108" i="13"/>
  <c r="K108" i="13" s="1"/>
  <c r="M108" i="13" s="1"/>
  <c r="C108" i="13"/>
  <c r="B108" i="13"/>
  <c r="U108" i="13" s="1"/>
  <c r="T107" i="13"/>
  <c r="R107" i="13"/>
  <c r="J107" i="13"/>
  <c r="I107" i="13"/>
  <c r="K107" i="13" s="1"/>
  <c r="C107" i="13"/>
  <c r="B107" i="13"/>
  <c r="U107" i="13" s="1"/>
  <c r="T106" i="13"/>
  <c r="R106" i="13"/>
  <c r="K106" i="13"/>
  <c r="J106" i="13"/>
  <c r="I106" i="13"/>
  <c r="C106" i="13"/>
  <c r="B106" i="13"/>
  <c r="U106" i="13" s="1"/>
  <c r="T105" i="13"/>
  <c r="R105" i="13"/>
  <c r="K105" i="13"/>
  <c r="M105" i="13" s="1"/>
  <c r="J105" i="13"/>
  <c r="I105" i="13"/>
  <c r="C105" i="13"/>
  <c r="B105" i="13"/>
  <c r="T104" i="13"/>
  <c r="R104" i="13"/>
  <c r="J104" i="13"/>
  <c r="I104" i="13"/>
  <c r="K104" i="13" s="1"/>
  <c r="N104" i="13" s="1"/>
  <c r="C104" i="13"/>
  <c r="B104" i="13"/>
  <c r="T103" i="13"/>
  <c r="R103" i="13"/>
  <c r="J103" i="13"/>
  <c r="I103" i="13"/>
  <c r="K103" i="13" s="1"/>
  <c r="M103" i="13" s="1"/>
  <c r="C103" i="13"/>
  <c r="B103" i="13"/>
  <c r="U103" i="13" s="1"/>
  <c r="T102" i="13"/>
  <c r="R102" i="13"/>
  <c r="K102" i="13"/>
  <c r="J102" i="13"/>
  <c r="I102" i="13"/>
  <c r="C102" i="13"/>
  <c r="B102" i="13"/>
  <c r="U102" i="13" s="1"/>
  <c r="T101" i="13"/>
  <c r="R101" i="13"/>
  <c r="K101" i="13"/>
  <c r="M101" i="13" s="1"/>
  <c r="J101" i="13"/>
  <c r="I101" i="13"/>
  <c r="C101" i="13"/>
  <c r="B101" i="13"/>
  <c r="T100" i="13"/>
  <c r="R100" i="13"/>
  <c r="J100" i="13"/>
  <c r="I100" i="13"/>
  <c r="K100" i="13" s="1"/>
  <c r="N100" i="13" s="1"/>
  <c r="C100" i="13"/>
  <c r="B100" i="13"/>
  <c r="U100" i="13" s="1"/>
  <c r="T99" i="13"/>
  <c r="R99" i="13"/>
  <c r="N99" i="13"/>
  <c r="J99" i="13"/>
  <c r="I99" i="13"/>
  <c r="K99" i="13" s="1"/>
  <c r="M99" i="13" s="1"/>
  <c r="C99" i="13"/>
  <c r="B99" i="13"/>
  <c r="U99" i="13" s="1"/>
  <c r="T98" i="13"/>
  <c r="R98" i="13"/>
  <c r="K98" i="13"/>
  <c r="J98" i="13"/>
  <c r="I98" i="13"/>
  <c r="C98" i="13"/>
  <c r="B98" i="13"/>
  <c r="U98" i="13" s="1"/>
  <c r="T97" i="13"/>
  <c r="R97" i="13"/>
  <c r="K97" i="13"/>
  <c r="M97" i="13" s="1"/>
  <c r="J97" i="13"/>
  <c r="I97" i="13"/>
  <c r="C97" i="13"/>
  <c r="B97" i="13"/>
  <c r="T96" i="13"/>
  <c r="R96" i="13"/>
  <c r="J96" i="13"/>
  <c r="I96" i="13"/>
  <c r="K96" i="13" s="1"/>
  <c r="M96" i="13" s="1"/>
  <c r="C96" i="13"/>
  <c r="B96" i="13"/>
  <c r="U96" i="13" s="1"/>
  <c r="T95" i="13"/>
  <c r="R95" i="13"/>
  <c r="J95" i="13"/>
  <c r="I95" i="13"/>
  <c r="K95" i="13" s="1"/>
  <c r="C95" i="13"/>
  <c r="B95" i="13"/>
  <c r="U95" i="13" s="1"/>
  <c r="T94" i="13"/>
  <c r="R94" i="13"/>
  <c r="K94" i="13"/>
  <c r="J94" i="13"/>
  <c r="I94" i="13"/>
  <c r="C94" i="13"/>
  <c r="B94" i="13"/>
  <c r="U94" i="13" s="1"/>
  <c r="T93" i="13"/>
  <c r="R93" i="13"/>
  <c r="K93" i="13"/>
  <c r="M93" i="13" s="1"/>
  <c r="J93" i="13"/>
  <c r="I93" i="13"/>
  <c r="C93" i="13"/>
  <c r="B93" i="13"/>
  <c r="T92" i="13"/>
  <c r="R92" i="13"/>
  <c r="M92" i="13"/>
  <c r="J92" i="13"/>
  <c r="I92" i="13"/>
  <c r="K92" i="13" s="1"/>
  <c r="N92" i="13" s="1"/>
  <c r="C92" i="13"/>
  <c r="B92" i="13"/>
  <c r="U92" i="13" s="1"/>
  <c r="T91" i="13"/>
  <c r="R91" i="13"/>
  <c r="J91" i="13"/>
  <c r="I91" i="13"/>
  <c r="K91" i="13" s="1"/>
  <c r="M91" i="13" s="1"/>
  <c r="C91" i="13"/>
  <c r="B91" i="13"/>
  <c r="U91" i="13" s="1"/>
  <c r="T90" i="13"/>
  <c r="R90" i="13"/>
  <c r="K90" i="13"/>
  <c r="J90" i="13"/>
  <c r="I90" i="13"/>
  <c r="C90" i="13"/>
  <c r="B90" i="13"/>
  <c r="U90" i="13" s="1"/>
  <c r="T89" i="13"/>
  <c r="R89" i="13"/>
  <c r="K89" i="13"/>
  <c r="M89" i="13" s="1"/>
  <c r="J89" i="13"/>
  <c r="I89" i="13"/>
  <c r="C89" i="13"/>
  <c r="B89" i="13"/>
  <c r="U89" i="13" s="1"/>
  <c r="T88" i="13"/>
  <c r="R88" i="13"/>
  <c r="K88" i="13"/>
  <c r="J88" i="13"/>
  <c r="I88" i="13"/>
  <c r="C88" i="13"/>
  <c r="B88" i="13"/>
  <c r="T87" i="13"/>
  <c r="R87" i="13"/>
  <c r="J87" i="13"/>
  <c r="I87" i="13"/>
  <c r="K87" i="13" s="1"/>
  <c r="C87" i="13"/>
  <c r="B87" i="13"/>
  <c r="T86" i="13"/>
  <c r="R86" i="13"/>
  <c r="J86" i="13"/>
  <c r="I86" i="13"/>
  <c r="K86" i="13" s="1"/>
  <c r="C86" i="13"/>
  <c r="B86" i="13"/>
  <c r="T85" i="13"/>
  <c r="R85" i="13"/>
  <c r="K85" i="13"/>
  <c r="J85" i="13"/>
  <c r="I85" i="13"/>
  <c r="C85" i="13"/>
  <c r="B85" i="13"/>
  <c r="T84" i="13"/>
  <c r="R84" i="13"/>
  <c r="J84" i="13"/>
  <c r="I84" i="13"/>
  <c r="K84" i="13" s="1"/>
  <c r="C84" i="13"/>
  <c r="B84" i="13"/>
  <c r="T83" i="13"/>
  <c r="R83" i="13"/>
  <c r="J83" i="13"/>
  <c r="I83" i="13"/>
  <c r="K83" i="13" s="1"/>
  <c r="N83" i="13" s="1"/>
  <c r="C83" i="13"/>
  <c r="B83" i="13"/>
  <c r="U83" i="13" s="1"/>
  <c r="T82" i="13"/>
  <c r="R82" i="13"/>
  <c r="K82" i="13"/>
  <c r="M82" i="13" s="1"/>
  <c r="J82" i="13"/>
  <c r="I82" i="13"/>
  <c r="C82" i="13"/>
  <c r="B82" i="13"/>
  <c r="U82" i="13" s="1"/>
  <c r="T81" i="13"/>
  <c r="R81" i="13"/>
  <c r="K81" i="13"/>
  <c r="M81" i="13" s="1"/>
  <c r="J81" i="13"/>
  <c r="I81" i="13"/>
  <c r="C81" i="13"/>
  <c r="B81" i="13"/>
  <c r="U81" i="13" s="1"/>
  <c r="T80" i="13"/>
  <c r="R80" i="13"/>
  <c r="J80" i="13"/>
  <c r="I80" i="13"/>
  <c r="K80" i="13" s="1"/>
  <c r="M80" i="13" s="1"/>
  <c r="C80" i="13"/>
  <c r="B80" i="13"/>
  <c r="T79" i="13"/>
  <c r="R79" i="13"/>
  <c r="J79" i="13"/>
  <c r="I79" i="13"/>
  <c r="K79" i="13" s="1"/>
  <c r="N79" i="13" s="1"/>
  <c r="C79" i="13"/>
  <c r="B79" i="13"/>
  <c r="U79" i="13" s="1"/>
  <c r="T78" i="13"/>
  <c r="R78" i="13"/>
  <c r="K78" i="13"/>
  <c r="J78" i="13"/>
  <c r="I78" i="13"/>
  <c r="C78" i="13"/>
  <c r="B78" i="13"/>
  <c r="T77" i="13"/>
  <c r="R77" i="13"/>
  <c r="K77" i="13"/>
  <c r="J77" i="13"/>
  <c r="I77" i="13"/>
  <c r="C77" i="13"/>
  <c r="B77" i="13"/>
  <c r="T76" i="13"/>
  <c r="R76" i="13"/>
  <c r="K76" i="13"/>
  <c r="N76" i="13" s="1"/>
  <c r="J76" i="13"/>
  <c r="I76" i="13"/>
  <c r="C76" i="13"/>
  <c r="B76" i="13"/>
  <c r="T75" i="13"/>
  <c r="R75" i="13"/>
  <c r="J75" i="13"/>
  <c r="I75" i="13"/>
  <c r="K75" i="13" s="1"/>
  <c r="M75" i="13" s="1"/>
  <c r="N75" i="13" s="1"/>
  <c r="C75" i="13"/>
  <c r="B75" i="13"/>
  <c r="U75" i="13" s="1"/>
  <c r="T74" i="13"/>
  <c r="R74" i="13"/>
  <c r="J74" i="13"/>
  <c r="I74" i="13"/>
  <c r="K74" i="13" s="1"/>
  <c r="M74" i="13" s="1"/>
  <c r="C74" i="13"/>
  <c r="B74" i="13"/>
  <c r="U74" i="13" s="1"/>
  <c r="T73" i="13"/>
  <c r="R73" i="13"/>
  <c r="K73" i="13"/>
  <c r="M73" i="13" s="1"/>
  <c r="J73" i="13"/>
  <c r="I73" i="13"/>
  <c r="C73" i="13"/>
  <c r="B73" i="13"/>
  <c r="U73" i="13" s="1"/>
  <c r="T72" i="13"/>
  <c r="R72" i="13"/>
  <c r="K72" i="13"/>
  <c r="J72" i="13"/>
  <c r="I72" i="13"/>
  <c r="C72" i="13"/>
  <c r="B72" i="13"/>
  <c r="T71" i="13"/>
  <c r="R71" i="13"/>
  <c r="J71" i="13"/>
  <c r="I71" i="13"/>
  <c r="K71" i="13" s="1"/>
  <c r="C71" i="13"/>
  <c r="B71" i="13"/>
  <c r="U71" i="13" s="1"/>
  <c r="T70" i="13"/>
  <c r="R70" i="13"/>
  <c r="J70" i="13"/>
  <c r="I70" i="13"/>
  <c r="K70" i="13" s="1"/>
  <c r="C70" i="13"/>
  <c r="B70" i="13"/>
  <c r="T69" i="13"/>
  <c r="R69" i="13"/>
  <c r="K69" i="13"/>
  <c r="J69" i="13"/>
  <c r="I69" i="13"/>
  <c r="C69" i="13"/>
  <c r="B69" i="13"/>
  <c r="T68" i="13"/>
  <c r="R68" i="13"/>
  <c r="J68" i="13"/>
  <c r="I68" i="13"/>
  <c r="K68" i="13" s="1"/>
  <c r="M68" i="13" s="1"/>
  <c r="C68" i="13"/>
  <c r="B68" i="13"/>
  <c r="T67" i="13"/>
  <c r="R67" i="13"/>
  <c r="J67" i="13"/>
  <c r="I67" i="13"/>
  <c r="K67" i="13" s="1"/>
  <c r="N67" i="13" s="1"/>
  <c r="C67" i="13"/>
  <c r="B67" i="13"/>
  <c r="T66" i="13"/>
  <c r="R66" i="13"/>
  <c r="K66" i="13"/>
  <c r="M66" i="13" s="1"/>
  <c r="J66" i="13"/>
  <c r="I66" i="13"/>
  <c r="C66" i="13"/>
  <c r="B66" i="13"/>
  <c r="U66" i="13" s="1"/>
  <c r="T65" i="13"/>
  <c r="R65" i="13"/>
  <c r="K65" i="13"/>
  <c r="M65" i="13" s="1"/>
  <c r="J65" i="13"/>
  <c r="I65" i="13"/>
  <c r="C65" i="13"/>
  <c r="B65" i="13"/>
  <c r="U65" i="13" s="1"/>
  <c r="T64" i="13"/>
  <c r="R64" i="13"/>
  <c r="J64" i="13"/>
  <c r="I64" i="13"/>
  <c r="K64" i="13" s="1"/>
  <c r="M64" i="13" s="1"/>
  <c r="C64" i="13"/>
  <c r="B64" i="13"/>
  <c r="T63" i="13"/>
  <c r="R63" i="13"/>
  <c r="J63" i="13"/>
  <c r="I63" i="13"/>
  <c r="K63" i="13" s="1"/>
  <c r="M63" i="13" s="1"/>
  <c r="C63" i="13"/>
  <c r="B63" i="13"/>
  <c r="U63" i="13" s="1"/>
  <c r="T62" i="13"/>
  <c r="R62" i="13"/>
  <c r="K62" i="13"/>
  <c r="J62" i="13"/>
  <c r="I62" i="13"/>
  <c r="C62" i="13"/>
  <c r="B62" i="13"/>
  <c r="T61" i="13"/>
  <c r="R61" i="13"/>
  <c r="K61" i="13"/>
  <c r="J61" i="13"/>
  <c r="I61" i="13"/>
  <c r="C61" i="13"/>
  <c r="B61" i="13"/>
  <c r="T60" i="13"/>
  <c r="R60" i="13"/>
  <c r="K60" i="13"/>
  <c r="N60" i="13" s="1"/>
  <c r="J60" i="13"/>
  <c r="I60" i="13"/>
  <c r="C60" i="13"/>
  <c r="B60" i="13"/>
  <c r="T59" i="13"/>
  <c r="R59" i="13"/>
  <c r="J59" i="13"/>
  <c r="I59" i="13"/>
  <c r="K59" i="13" s="1"/>
  <c r="M59" i="13" s="1"/>
  <c r="C59" i="13"/>
  <c r="B59" i="13"/>
  <c r="U59" i="13" s="1"/>
  <c r="T58" i="13"/>
  <c r="R58" i="13"/>
  <c r="J58" i="13"/>
  <c r="I58" i="13"/>
  <c r="K58" i="13" s="1"/>
  <c r="M58" i="13" s="1"/>
  <c r="C58" i="13"/>
  <c r="B58" i="13"/>
  <c r="U58" i="13" s="1"/>
  <c r="T57" i="13"/>
  <c r="R57" i="13"/>
  <c r="M57" i="13"/>
  <c r="K57" i="13"/>
  <c r="J57" i="13"/>
  <c r="I57" i="13"/>
  <c r="C57" i="13"/>
  <c r="B57" i="13"/>
  <c r="U57" i="13" s="1"/>
  <c r="T56" i="13"/>
  <c r="R56" i="13"/>
  <c r="K56" i="13"/>
  <c r="M56" i="13" s="1"/>
  <c r="J56" i="13"/>
  <c r="I56" i="13"/>
  <c r="C56" i="13"/>
  <c r="B56" i="13"/>
  <c r="T55" i="13"/>
  <c r="R55" i="13"/>
  <c r="J55" i="13"/>
  <c r="I55" i="13"/>
  <c r="K55" i="13" s="1"/>
  <c r="C55" i="13"/>
  <c r="B55" i="13"/>
  <c r="T54" i="13"/>
  <c r="R54" i="13"/>
  <c r="K54" i="13"/>
  <c r="M54" i="13" s="1"/>
  <c r="J54" i="13"/>
  <c r="I54" i="13"/>
  <c r="C54" i="13"/>
  <c r="B54" i="13"/>
  <c r="T53" i="13"/>
  <c r="R53" i="13"/>
  <c r="K53" i="13"/>
  <c r="J53" i="13"/>
  <c r="I53" i="13"/>
  <c r="C53" i="13"/>
  <c r="B53" i="13"/>
  <c r="U53" i="13" s="1"/>
  <c r="T52" i="13"/>
  <c r="R52" i="13"/>
  <c r="J52" i="13"/>
  <c r="I52" i="13"/>
  <c r="K52" i="13" s="1"/>
  <c r="C52" i="13"/>
  <c r="B52" i="13"/>
  <c r="T51" i="13"/>
  <c r="R51" i="13"/>
  <c r="J51" i="13"/>
  <c r="I51" i="13"/>
  <c r="K51" i="13" s="1"/>
  <c r="M51" i="13" s="1"/>
  <c r="N51" i="13" s="1"/>
  <c r="C51" i="13"/>
  <c r="B51" i="13"/>
  <c r="U51" i="13" s="1"/>
  <c r="T50" i="13"/>
  <c r="R50" i="13"/>
  <c r="K50" i="13"/>
  <c r="M50" i="13" s="1"/>
  <c r="J50" i="13"/>
  <c r="I50" i="13"/>
  <c r="C50" i="13"/>
  <c r="B50" i="13"/>
  <c r="U50" i="13" s="1"/>
  <c r="T49" i="13"/>
  <c r="R49" i="13"/>
  <c r="K49" i="13"/>
  <c r="J49" i="13"/>
  <c r="I49" i="13"/>
  <c r="C49" i="13"/>
  <c r="B49" i="13"/>
  <c r="U49" i="13" s="1"/>
  <c r="T48" i="13"/>
  <c r="R48" i="13"/>
  <c r="J48" i="13"/>
  <c r="I48" i="13"/>
  <c r="K48" i="13" s="1"/>
  <c r="C48" i="13"/>
  <c r="B48" i="13"/>
  <c r="T47" i="13"/>
  <c r="R47" i="13"/>
  <c r="M47" i="13"/>
  <c r="N47" i="13" s="1"/>
  <c r="J47" i="13"/>
  <c r="I47" i="13"/>
  <c r="K47" i="13" s="1"/>
  <c r="C47" i="13"/>
  <c r="B47" i="13"/>
  <c r="U47" i="13" s="1"/>
  <c r="T46" i="13"/>
  <c r="R46" i="13"/>
  <c r="K46" i="13"/>
  <c r="M46" i="13" s="1"/>
  <c r="J46" i="13"/>
  <c r="I46" i="13"/>
  <c r="C46" i="13"/>
  <c r="B46" i="13"/>
  <c r="T45" i="13"/>
  <c r="R45" i="13"/>
  <c r="K45" i="13"/>
  <c r="M45" i="13" s="1"/>
  <c r="J45" i="13"/>
  <c r="I45" i="13"/>
  <c r="C45" i="13"/>
  <c r="B45" i="13"/>
  <c r="T44" i="13"/>
  <c r="R44" i="13"/>
  <c r="K44" i="13"/>
  <c r="J44" i="13"/>
  <c r="I44" i="13"/>
  <c r="C44" i="13"/>
  <c r="B44" i="13"/>
  <c r="T43" i="13"/>
  <c r="R43" i="13"/>
  <c r="J43" i="13"/>
  <c r="I43" i="13"/>
  <c r="K43" i="13" s="1"/>
  <c r="C43" i="13"/>
  <c r="B43" i="13"/>
  <c r="U43" i="13" s="1"/>
  <c r="T42" i="13"/>
  <c r="R42" i="13"/>
  <c r="K42" i="13"/>
  <c r="J42" i="13"/>
  <c r="I42" i="13"/>
  <c r="C42" i="13"/>
  <c r="B42" i="13"/>
  <c r="U42" i="13" s="1"/>
  <c r="T41" i="13"/>
  <c r="R41" i="13"/>
  <c r="K41" i="13"/>
  <c r="J41" i="13"/>
  <c r="I41" i="13"/>
  <c r="C41" i="13"/>
  <c r="B41" i="13"/>
  <c r="U41" i="13" s="1"/>
  <c r="T40" i="13"/>
  <c r="R40" i="13"/>
  <c r="J40" i="13"/>
  <c r="I40" i="13"/>
  <c r="K40" i="13" s="1"/>
  <c r="C40" i="13"/>
  <c r="B40" i="13"/>
  <c r="U40" i="13" s="1"/>
  <c r="T39" i="13"/>
  <c r="R39" i="13"/>
  <c r="J39" i="13"/>
  <c r="I39" i="13"/>
  <c r="K39" i="13" s="1"/>
  <c r="C39" i="13"/>
  <c r="B39" i="13"/>
  <c r="U39" i="13" s="1"/>
  <c r="T38" i="13"/>
  <c r="R38" i="13"/>
  <c r="K38" i="13"/>
  <c r="J38" i="13"/>
  <c r="I38" i="13"/>
  <c r="C38" i="13"/>
  <c r="B38" i="13"/>
  <c r="U38" i="13" s="1"/>
  <c r="T37" i="13"/>
  <c r="R37" i="13"/>
  <c r="K37" i="13"/>
  <c r="J37" i="13"/>
  <c r="I37" i="13"/>
  <c r="C37" i="13"/>
  <c r="B37" i="13"/>
  <c r="U37" i="13" s="1"/>
  <c r="T36" i="13"/>
  <c r="R36" i="13"/>
  <c r="J36" i="13"/>
  <c r="I36" i="13"/>
  <c r="K36" i="13" s="1"/>
  <c r="C36" i="13"/>
  <c r="B36" i="13"/>
  <c r="U36" i="13" s="1"/>
  <c r="T35" i="13"/>
  <c r="R35" i="13"/>
  <c r="J35" i="13"/>
  <c r="I35" i="13"/>
  <c r="K35" i="13" s="1"/>
  <c r="C35" i="13"/>
  <c r="B35" i="13"/>
  <c r="U35" i="13" s="1"/>
  <c r="T34" i="13"/>
  <c r="R34" i="13"/>
  <c r="K34" i="13"/>
  <c r="J34" i="13"/>
  <c r="I34" i="13"/>
  <c r="C34" i="13"/>
  <c r="B34" i="13"/>
  <c r="U34" i="13" s="1"/>
  <c r="T33" i="13"/>
  <c r="R33" i="13"/>
  <c r="K33" i="13"/>
  <c r="J33" i="13"/>
  <c r="I33" i="13"/>
  <c r="C33" i="13"/>
  <c r="B33" i="13"/>
  <c r="U33" i="13" s="1"/>
  <c r="T32" i="13"/>
  <c r="R32" i="13"/>
  <c r="J32" i="13"/>
  <c r="I32" i="13"/>
  <c r="K32" i="13" s="1"/>
  <c r="C32" i="13"/>
  <c r="B32" i="13"/>
  <c r="U32" i="13" s="1"/>
  <c r="T31" i="13"/>
  <c r="R31" i="13"/>
  <c r="J31" i="13"/>
  <c r="I31" i="13"/>
  <c r="K31" i="13" s="1"/>
  <c r="C31" i="13"/>
  <c r="B31" i="13"/>
  <c r="U31" i="13" s="1"/>
  <c r="T30" i="13"/>
  <c r="R30" i="13"/>
  <c r="K30" i="13"/>
  <c r="J30" i="13"/>
  <c r="I30" i="13"/>
  <c r="C30" i="13"/>
  <c r="B30" i="13"/>
  <c r="U30" i="13" s="1"/>
  <c r="T29" i="13"/>
  <c r="R29" i="13"/>
  <c r="K29" i="13"/>
  <c r="J29" i="13"/>
  <c r="I29" i="13"/>
  <c r="C29" i="13"/>
  <c r="B29" i="13"/>
  <c r="U29" i="13" s="1"/>
  <c r="T28" i="13"/>
  <c r="R28" i="13"/>
  <c r="J28" i="13"/>
  <c r="I28" i="13"/>
  <c r="K28" i="13" s="1"/>
  <c r="C28" i="13"/>
  <c r="B28" i="13"/>
  <c r="U28" i="13" s="1"/>
  <c r="T27" i="13"/>
  <c r="R27" i="13"/>
  <c r="J27" i="13"/>
  <c r="I27" i="13"/>
  <c r="K27" i="13" s="1"/>
  <c r="C27" i="13"/>
  <c r="B27" i="13"/>
  <c r="U27" i="13" s="1"/>
  <c r="T26" i="13"/>
  <c r="R26" i="13"/>
  <c r="K26" i="13"/>
  <c r="J26" i="13"/>
  <c r="I26" i="13"/>
  <c r="C26" i="13"/>
  <c r="B26" i="13"/>
  <c r="U26" i="13" s="1"/>
  <c r="T25" i="13"/>
  <c r="R25" i="13"/>
  <c r="K25" i="13"/>
  <c r="J25" i="13"/>
  <c r="I25" i="13"/>
  <c r="C25" i="13"/>
  <c r="B25" i="13"/>
  <c r="U25" i="13" s="1"/>
  <c r="T24" i="13"/>
  <c r="R24" i="13"/>
  <c r="J24" i="13"/>
  <c r="I24" i="13"/>
  <c r="K24" i="13" s="1"/>
  <c r="C24" i="13"/>
  <c r="B24" i="13"/>
  <c r="U24" i="13" s="1"/>
  <c r="T23" i="13"/>
  <c r="R23" i="13"/>
  <c r="J23" i="13"/>
  <c r="I23" i="13"/>
  <c r="K23" i="13" s="1"/>
  <c r="C23" i="13"/>
  <c r="B23" i="13"/>
  <c r="U23" i="13" s="1"/>
  <c r="T22" i="13"/>
  <c r="R22" i="13"/>
  <c r="K22" i="13"/>
  <c r="J22" i="13"/>
  <c r="I22" i="13"/>
  <c r="C22" i="13"/>
  <c r="B22" i="13"/>
  <c r="U22" i="13" s="1"/>
  <c r="T21" i="13"/>
  <c r="R21" i="13"/>
  <c r="K21" i="13"/>
  <c r="J21" i="13"/>
  <c r="I21" i="13"/>
  <c r="C21" i="13"/>
  <c r="B21" i="13"/>
  <c r="U21" i="13" s="1"/>
  <c r="T20" i="13"/>
  <c r="R20" i="13"/>
  <c r="J20" i="13"/>
  <c r="I20" i="13"/>
  <c r="K20" i="13" s="1"/>
  <c r="C20" i="13"/>
  <c r="B20" i="13"/>
  <c r="U20" i="13" s="1"/>
  <c r="T19" i="13"/>
  <c r="R19" i="13"/>
  <c r="J19" i="13"/>
  <c r="I19" i="13"/>
  <c r="K19" i="13" s="1"/>
  <c r="C19" i="13"/>
  <c r="B19" i="13"/>
  <c r="U19" i="13" s="1"/>
  <c r="T18" i="13"/>
  <c r="R18" i="13"/>
  <c r="K18" i="13"/>
  <c r="J18" i="13"/>
  <c r="I18" i="13"/>
  <c r="C18" i="13"/>
  <c r="B18" i="13"/>
  <c r="U18" i="13" s="1"/>
  <c r="T17" i="13"/>
  <c r="R17" i="13"/>
  <c r="K17" i="13"/>
  <c r="J17" i="13"/>
  <c r="I17" i="13"/>
  <c r="C17" i="13"/>
  <c r="B17" i="13"/>
  <c r="U17" i="13" s="1"/>
  <c r="T16" i="13"/>
  <c r="R16" i="13"/>
  <c r="J16" i="13"/>
  <c r="I16" i="13"/>
  <c r="K16" i="13" s="1"/>
  <c r="C16" i="13"/>
  <c r="B16" i="13"/>
  <c r="T15" i="13"/>
  <c r="R15" i="13"/>
  <c r="J15" i="13"/>
  <c r="I15" i="13"/>
  <c r="K15" i="13" s="1"/>
  <c r="C15" i="13"/>
  <c r="B15" i="13"/>
  <c r="T14" i="13"/>
  <c r="R14" i="13"/>
  <c r="K14" i="13"/>
  <c r="J14" i="13"/>
  <c r="I14" i="13"/>
  <c r="C14" i="13"/>
  <c r="B14" i="13"/>
  <c r="U14" i="13" s="1"/>
  <c r="T13" i="13"/>
  <c r="R13" i="13"/>
  <c r="K13" i="13"/>
  <c r="J13" i="13"/>
  <c r="I13" i="13"/>
  <c r="C13" i="13"/>
  <c r="B13" i="13"/>
  <c r="U13" i="13" s="1"/>
  <c r="T12" i="13"/>
  <c r="R12" i="13"/>
  <c r="J12" i="13"/>
  <c r="I12" i="13"/>
  <c r="K12" i="13" s="1"/>
  <c r="C12" i="13"/>
  <c r="B12" i="13"/>
  <c r="U12" i="13" s="1"/>
  <c r="T11" i="13"/>
  <c r="R11" i="13"/>
  <c r="J11" i="13"/>
  <c r="I11" i="13"/>
  <c r="K11" i="13" s="1"/>
  <c r="C11" i="13"/>
  <c r="B11" i="13"/>
  <c r="U11" i="13" s="1"/>
  <c r="T10" i="13"/>
  <c r="R10" i="13"/>
  <c r="K10" i="13"/>
  <c r="J10" i="13"/>
  <c r="I10" i="13"/>
  <c r="C10" i="13"/>
  <c r="B10" i="13"/>
  <c r="U10" i="13" s="1"/>
  <c r="T9" i="13"/>
  <c r="R9" i="13"/>
  <c r="K9" i="13"/>
  <c r="J9" i="13"/>
  <c r="I9" i="13"/>
  <c r="C9" i="13"/>
  <c r="B9" i="13"/>
  <c r="U9" i="13" s="1"/>
  <c r="R8" i="13"/>
  <c r="J8" i="13"/>
  <c r="I8" i="13"/>
  <c r="K8" i="13" s="1"/>
  <c r="C8" i="13"/>
  <c r="B8" i="13"/>
  <c r="U8" i="13" s="1"/>
  <c r="T7" i="13"/>
  <c r="R7" i="13"/>
  <c r="J7" i="13"/>
  <c r="I7" i="13"/>
  <c r="K7" i="13" s="1"/>
  <c r="C7" i="13"/>
  <c r="B7" i="13"/>
  <c r="U7" i="13" s="1"/>
  <c r="T6" i="13"/>
  <c r="R6" i="13"/>
  <c r="K6" i="13"/>
  <c r="J6" i="13"/>
  <c r="I6" i="13"/>
  <c r="C6" i="13"/>
  <c r="B6" i="13"/>
  <c r="U6" i="13" s="1"/>
  <c r="T5" i="13"/>
  <c r="R5" i="13"/>
  <c r="K5" i="13"/>
  <c r="J5" i="13"/>
  <c r="I5" i="13"/>
  <c r="C5" i="13"/>
  <c r="B5" i="13"/>
  <c r="U5" i="13" s="1"/>
  <c r="T4" i="13"/>
  <c r="R4" i="13"/>
  <c r="J4" i="13"/>
  <c r="I4" i="13"/>
  <c r="K4" i="13" s="1"/>
  <c r="C4" i="13"/>
  <c r="B4" i="13"/>
  <c r="U4" i="13" s="1"/>
  <c r="T3" i="13"/>
  <c r="I3" i="13"/>
  <c r="K3" i="13" s="1"/>
  <c r="C3" i="13"/>
  <c r="B3" i="13"/>
  <c r="U3" i="13" s="1"/>
  <c r="I2" i="13"/>
  <c r="K2" i="13" s="1"/>
  <c r="B17" i="16"/>
  <c r="B16" i="16"/>
  <c r="B15" i="16"/>
  <c r="B14" i="16"/>
  <c r="B13" i="16"/>
  <c r="C2" i="13"/>
  <c r="B2" i="13"/>
  <c r="U2" i="13" s="1"/>
  <c r="O128" i="13" l="1"/>
  <c r="M104" i="13"/>
  <c r="N108" i="13"/>
  <c r="M109" i="13"/>
  <c r="N112" i="13"/>
  <c r="M113" i="13"/>
  <c r="N144" i="13"/>
  <c r="N82" i="13"/>
  <c r="N140" i="13"/>
  <c r="O140" i="13" s="1"/>
  <c r="O132" i="13"/>
  <c r="N136" i="13"/>
  <c r="O136" i="13" s="1"/>
  <c r="M76" i="13"/>
  <c r="O144" i="13"/>
  <c r="U119" i="13"/>
  <c r="O51" i="13"/>
  <c r="P51" i="13" s="1"/>
  <c r="N59" i="13"/>
  <c r="M60" i="13"/>
  <c r="N64" i="13"/>
  <c r="N66" i="13"/>
  <c r="M67" i="13"/>
  <c r="N74" i="13"/>
  <c r="O74" i="13" s="1"/>
  <c r="P74" i="13" s="1"/>
  <c r="O76" i="13"/>
  <c r="P76" i="13" s="1"/>
  <c r="M79" i="13"/>
  <c r="O82" i="13"/>
  <c r="P82" i="13" s="1"/>
  <c r="O83" i="13"/>
  <c r="N91" i="13"/>
  <c r="N96" i="13"/>
  <c r="O96" i="13" s="1"/>
  <c r="P96" i="13" s="1"/>
  <c r="O100" i="13"/>
  <c r="N120" i="13"/>
  <c r="M121" i="13"/>
  <c r="N124" i="13"/>
  <c r="M125" i="13"/>
  <c r="M129" i="13"/>
  <c r="M133" i="13"/>
  <c r="M137" i="13"/>
  <c r="M141" i="13"/>
  <c r="M145" i="13"/>
  <c r="N148" i="13"/>
  <c r="M149" i="13"/>
  <c r="O59" i="13"/>
  <c r="N58" i="13"/>
  <c r="M83" i="13"/>
  <c r="M100" i="13"/>
  <c r="O67" i="13"/>
  <c r="O120" i="13"/>
  <c r="O148" i="13"/>
  <c r="O60" i="13"/>
  <c r="P60" i="13" s="1"/>
  <c r="O92" i="13"/>
  <c r="O108" i="13"/>
  <c r="O112" i="13"/>
  <c r="P112" i="13" s="1"/>
  <c r="O116" i="13"/>
  <c r="H3" i="16"/>
  <c r="H2" i="16"/>
  <c r="U16" i="13"/>
  <c r="U15" i="13"/>
  <c r="U69" i="13"/>
  <c r="U135" i="13"/>
  <c r="U111" i="13"/>
  <c r="U139" i="13"/>
  <c r="U70" i="13"/>
  <c r="U55" i="13"/>
  <c r="U86" i="13"/>
  <c r="U87" i="13"/>
  <c r="U67" i="13"/>
  <c r="U105" i="13"/>
  <c r="U85" i="13"/>
  <c r="M3" i="13"/>
  <c r="N3" i="13" s="1"/>
  <c r="M7" i="13"/>
  <c r="N7" i="13"/>
  <c r="O7" i="13" s="1"/>
  <c r="M11" i="13"/>
  <c r="N11" i="13"/>
  <c r="N26" i="13"/>
  <c r="N38" i="13"/>
  <c r="M48" i="13"/>
  <c r="N48" i="13" s="1"/>
  <c r="N4" i="13"/>
  <c r="M4" i="13"/>
  <c r="M15" i="13"/>
  <c r="N15" i="13" s="1"/>
  <c r="N29" i="13"/>
  <c r="N44" i="13"/>
  <c r="O47" i="13"/>
  <c r="P47" i="13" s="1"/>
  <c r="M8" i="13"/>
  <c r="N8" i="13" s="1"/>
  <c r="M12" i="13"/>
  <c r="N12" i="13" s="1"/>
  <c r="M16" i="13"/>
  <c r="N16" i="13" s="1"/>
  <c r="M19" i="13"/>
  <c r="N19" i="13"/>
  <c r="M20" i="13"/>
  <c r="N20" i="13" s="1"/>
  <c r="M23" i="13"/>
  <c r="N23" i="13" s="1"/>
  <c r="M24" i="13"/>
  <c r="N24" i="13" s="1"/>
  <c r="M27" i="13"/>
  <c r="N27" i="13"/>
  <c r="M28" i="13"/>
  <c r="N28" i="13" s="1"/>
  <c r="M31" i="13"/>
  <c r="N31" i="13" s="1"/>
  <c r="M32" i="13"/>
  <c r="N32" i="13" s="1"/>
  <c r="M35" i="13"/>
  <c r="N35" i="13"/>
  <c r="M36" i="13"/>
  <c r="N36" i="13" s="1"/>
  <c r="M39" i="13"/>
  <c r="N39" i="13" s="1"/>
  <c r="M40" i="13"/>
  <c r="N40" i="13" s="1"/>
  <c r="M43" i="13"/>
  <c r="N43" i="13"/>
  <c r="M52" i="13"/>
  <c r="N52" i="13" s="1"/>
  <c r="M70" i="13"/>
  <c r="N70" i="13" s="1"/>
  <c r="M13" i="13"/>
  <c r="N13" i="13" s="1"/>
  <c r="M17" i="13"/>
  <c r="N17" i="13" s="1"/>
  <c r="M21" i="13"/>
  <c r="N21" i="13" s="1"/>
  <c r="M25" i="13"/>
  <c r="N25" i="13" s="1"/>
  <c r="M29" i="13"/>
  <c r="M33" i="13"/>
  <c r="N33" i="13" s="1"/>
  <c r="M37" i="13"/>
  <c r="N37" i="13" s="1"/>
  <c r="M41" i="13"/>
  <c r="N41" i="13" s="1"/>
  <c r="U44" i="13"/>
  <c r="N46" i="13"/>
  <c r="U54" i="13"/>
  <c r="N56" i="13"/>
  <c r="O56" i="13" s="1"/>
  <c r="P59" i="13"/>
  <c r="U62" i="13"/>
  <c r="M62" i="13"/>
  <c r="N62" i="13"/>
  <c r="M71" i="13"/>
  <c r="N71" i="13" s="1"/>
  <c r="O75" i="13"/>
  <c r="P75" i="13" s="1"/>
  <c r="M86" i="13"/>
  <c r="N86" i="13"/>
  <c r="O99" i="13"/>
  <c r="P99" i="13" s="1"/>
  <c r="U56" i="13"/>
  <c r="O79" i="13"/>
  <c r="P79" i="13" s="1"/>
  <c r="U88" i="13"/>
  <c r="M88" i="13"/>
  <c r="N88" i="13" s="1"/>
  <c r="M5" i="13"/>
  <c r="N5" i="13" s="1"/>
  <c r="M9" i="13"/>
  <c r="N9" i="13" s="1"/>
  <c r="M6" i="13"/>
  <c r="N6" i="13" s="1"/>
  <c r="M10" i="13"/>
  <c r="N10" i="13" s="1"/>
  <c r="M14" i="13"/>
  <c r="N14" i="13" s="1"/>
  <c r="M18" i="13"/>
  <c r="N18" i="13" s="1"/>
  <c r="M22" i="13"/>
  <c r="N22" i="13" s="1"/>
  <c r="M26" i="13"/>
  <c r="M30" i="13"/>
  <c r="N30" i="13" s="1"/>
  <c r="M34" i="13"/>
  <c r="N34" i="13" s="1"/>
  <c r="M38" i="13"/>
  <c r="M42" i="13"/>
  <c r="N42" i="13" s="1"/>
  <c r="M44" i="13"/>
  <c r="U45" i="13"/>
  <c r="U46" i="13"/>
  <c r="U48" i="13"/>
  <c r="M49" i="13"/>
  <c r="N49" i="13" s="1"/>
  <c r="N50" i="13"/>
  <c r="N54" i="13"/>
  <c r="U61" i="13"/>
  <c r="M61" i="13"/>
  <c r="N61" i="13" s="1"/>
  <c r="U78" i="13"/>
  <c r="M78" i="13"/>
  <c r="N78" i="13" s="1"/>
  <c r="N80" i="13"/>
  <c r="M87" i="13"/>
  <c r="N87" i="13" s="1"/>
  <c r="P91" i="13"/>
  <c r="O91" i="13"/>
  <c r="N45" i="13"/>
  <c r="N68" i="13"/>
  <c r="U52" i="13"/>
  <c r="M53" i="13"/>
  <c r="N53" i="13" s="1"/>
  <c r="M55" i="13"/>
  <c r="N55" i="13" s="1"/>
  <c r="O58" i="13"/>
  <c r="P58" i="13" s="1"/>
  <c r="N63" i="13"/>
  <c r="U72" i="13"/>
  <c r="N72" i="13"/>
  <c r="M72" i="13"/>
  <c r="U77" i="13"/>
  <c r="N77" i="13"/>
  <c r="M77" i="13"/>
  <c r="M84" i="13"/>
  <c r="N84" i="13" s="1"/>
  <c r="M95" i="13"/>
  <c r="N95" i="13"/>
  <c r="U60" i="13"/>
  <c r="O64" i="13"/>
  <c r="P64" i="13" s="1"/>
  <c r="N65" i="13"/>
  <c r="O65" i="13" s="1"/>
  <c r="U76" i="13"/>
  <c r="O80" i="13"/>
  <c r="N81" i="13"/>
  <c r="M90" i="13"/>
  <c r="N90" i="13" s="1"/>
  <c r="U93" i="13"/>
  <c r="N93" i="13"/>
  <c r="M98" i="13"/>
  <c r="N98" i="13" s="1"/>
  <c r="U101" i="13"/>
  <c r="N101" i="13"/>
  <c r="U110" i="13"/>
  <c r="M110" i="13"/>
  <c r="N110" i="13" s="1"/>
  <c r="U118" i="13"/>
  <c r="N118" i="13"/>
  <c r="M118" i="13"/>
  <c r="U126" i="13"/>
  <c r="N126" i="13"/>
  <c r="M126" i="13"/>
  <c r="U134" i="13"/>
  <c r="M134" i="13"/>
  <c r="N134" i="13" s="1"/>
  <c r="U142" i="13"/>
  <c r="M142" i="13"/>
  <c r="N142" i="13" s="1"/>
  <c r="U150" i="13"/>
  <c r="N150" i="13"/>
  <c r="M150" i="13"/>
  <c r="U64" i="13"/>
  <c r="P67" i="13"/>
  <c r="O68" i="13"/>
  <c r="U80" i="13"/>
  <c r="P83" i="13"/>
  <c r="P92" i="13"/>
  <c r="P100" i="13"/>
  <c r="N103" i="13"/>
  <c r="O103" i="13" s="1"/>
  <c r="N57" i="13"/>
  <c r="U68" i="13"/>
  <c r="M69" i="13"/>
  <c r="N69" i="13" s="1"/>
  <c r="N73" i="13"/>
  <c r="U84" i="13"/>
  <c r="M85" i="13"/>
  <c r="N85" i="13" s="1"/>
  <c r="N89" i="13"/>
  <c r="N94" i="13"/>
  <c r="M94" i="13"/>
  <c r="U97" i="13"/>
  <c r="N97" i="13"/>
  <c r="O97" i="13" s="1"/>
  <c r="M102" i="13"/>
  <c r="N102" i="13" s="1"/>
  <c r="U114" i="13"/>
  <c r="N114" i="13"/>
  <c r="M114" i="13"/>
  <c r="U122" i="13"/>
  <c r="M122" i="13"/>
  <c r="N122" i="13" s="1"/>
  <c r="U130" i="13"/>
  <c r="N130" i="13"/>
  <c r="M130" i="13"/>
  <c r="U138" i="13"/>
  <c r="M138" i="13"/>
  <c r="N138" i="13" s="1"/>
  <c r="U146" i="13"/>
  <c r="N146" i="13"/>
  <c r="M146" i="13"/>
  <c r="P108" i="13"/>
  <c r="P116" i="13"/>
  <c r="P120" i="13"/>
  <c r="P128" i="13"/>
  <c r="P132" i="13"/>
  <c r="P136" i="13"/>
  <c r="P140" i="13"/>
  <c r="P144" i="13"/>
  <c r="P148" i="13"/>
  <c r="O104" i="13"/>
  <c r="P104" i="13" s="1"/>
  <c r="N105" i="13"/>
  <c r="O105" i="13" s="1"/>
  <c r="N106" i="13"/>
  <c r="M106" i="13"/>
  <c r="U104" i="13"/>
  <c r="N107" i="13"/>
  <c r="O107" i="13" s="1"/>
  <c r="M107" i="13"/>
  <c r="O109" i="13"/>
  <c r="P109" i="13" s="1"/>
  <c r="N111" i="13"/>
  <c r="M111" i="13"/>
  <c r="O113" i="13"/>
  <c r="P113" i="13" s="1"/>
  <c r="N115" i="13"/>
  <c r="O115" i="13" s="1"/>
  <c r="M115" i="13"/>
  <c r="O117" i="13"/>
  <c r="P117" i="13" s="1"/>
  <c r="N119" i="13"/>
  <c r="O119" i="13" s="1"/>
  <c r="M119" i="13"/>
  <c r="O121" i="13"/>
  <c r="P121" i="13" s="1"/>
  <c r="N123" i="13"/>
  <c r="M123" i="13"/>
  <c r="O125" i="13"/>
  <c r="P125" i="13" s="1"/>
  <c r="O126" i="13"/>
  <c r="N127" i="13"/>
  <c r="O127" i="13" s="1"/>
  <c r="M127" i="13"/>
  <c r="O129" i="13"/>
  <c r="P129" i="13" s="1"/>
  <c r="N131" i="13"/>
  <c r="O131" i="13" s="1"/>
  <c r="M131" i="13"/>
  <c r="O133" i="13"/>
  <c r="P133" i="13" s="1"/>
  <c r="N135" i="13"/>
  <c r="O135" i="13" s="1"/>
  <c r="M135" i="13"/>
  <c r="O137" i="13"/>
  <c r="P137" i="13" s="1"/>
  <c r="N139" i="13"/>
  <c r="O139" i="13" s="1"/>
  <c r="M139" i="13"/>
  <c r="O141" i="13"/>
  <c r="P141" i="13" s="1"/>
  <c r="N143" i="13"/>
  <c r="M143" i="13"/>
  <c r="O145" i="13"/>
  <c r="P145" i="13" s="1"/>
  <c r="N147" i="13"/>
  <c r="O147" i="13" s="1"/>
  <c r="M147" i="13"/>
  <c r="O149" i="13"/>
  <c r="P149" i="13" s="1"/>
  <c r="M2" i="13"/>
  <c r="O124" i="13" l="1"/>
  <c r="P124" i="13" s="1"/>
  <c r="O66" i="13"/>
  <c r="P66" i="13" s="1"/>
  <c r="N2" i="13"/>
  <c r="O2" i="13" s="1"/>
  <c r="O102" i="13"/>
  <c r="P102" i="13" s="1"/>
  <c r="O6" i="13"/>
  <c r="P6" i="13" s="1"/>
  <c r="O33" i="13"/>
  <c r="P33" i="13" s="1"/>
  <c r="O36" i="13"/>
  <c r="P36" i="13" s="1"/>
  <c r="O24" i="13"/>
  <c r="P24" i="13" s="1"/>
  <c r="O48" i="13"/>
  <c r="P48" i="13" s="1"/>
  <c r="O138" i="13"/>
  <c r="P138" i="13" s="1"/>
  <c r="O110" i="13"/>
  <c r="P110" i="13" s="1"/>
  <c r="O55" i="13"/>
  <c r="P55" i="13" s="1"/>
  <c r="O78" i="13"/>
  <c r="P78" i="13" s="1"/>
  <c r="O49" i="13"/>
  <c r="P49" i="13" s="1"/>
  <c r="O34" i="13"/>
  <c r="P34" i="13" s="1"/>
  <c r="O18" i="13"/>
  <c r="P18" i="13" s="1"/>
  <c r="O9" i="13"/>
  <c r="P9" i="13" s="1"/>
  <c r="O13" i="13"/>
  <c r="P13" i="13" s="1"/>
  <c r="O28" i="13"/>
  <c r="P28" i="13" s="1"/>
  <c r="O23" i="13"/>
  <c r="P23" i="13" s="1"/>
  <c r="O16" i="13"/>
  <c r="P16" i="13" s="1"/>
  <c r="O122" i="13"/>
  <c r="P122" i="13" s="1"/>
  <c r="O61" i="13"/>
  <c r="P61" i="13" s="1"/>
  <c r="O31" i="13"/>
  <c r="P31" i="13" s="1"/>
  <c r="O134" i="13"/>
  <c r="P134" i="13" s="1"/>
  <c r="O84" i="13"/>
  <c r="P84" i="13" s="1"/>
  <c r="O53" i="13"/>
  <c r="P53" i="13"/>
  <c r="O30" i="13"/>
  <c r="P30" i="13" s="1"/>
  <c r="O14" i="13"/>
  <c r="P14" i="13" s="1"/>
  <c r="O5" i="13"/>
  <c r="P5" i="13" s="1"/>
  <c r="O71" i="13"/>
  <c r="P71" i="13" s="1"/>
  <c r="O41" i="13"/>
  <c r="P41" i="13" s="1"/>
  <c r="O25" i="13"/>
  <c r="P25" i="13" s="1"/>
  <c r="O70" i="13"/>
  <c r="P70" i="13" s="1"/>
  <c r="O40" i="13"/>
  <c r="P40" i="13" s="1"/>
  <c r="O20" i="13"/>
  <c r="P20" i="13" s="1"/>
  <c r="O12" i="13"/>
  <c r="P12" i="13" s="1"/>
  <c r="O22" i="13"/>
  <c r="P22" i="13" s="1"/>
  <c r="O17" i="13"/>
  <c r="P17" i="13" s="1"/>
  <c r="O15" i="13"/>
  <c r="P15" i="13" s="1"/>
  <c r="O85" i="13"/>
  <c r="P85" i="13" s="1"/>
  <c r="O69" i="13"/>
  <c r="P69" i="13" s="1"/>
  <c r="O142" i="13"/>
  <c r="P142" i="13" s="1"/>
  <c r="O98" i="13"/>
  <c r="P98" i="13" s="1"/>
  <c r="O90" i="13"/>
  <c r="P90" i="13" s="1"/>
  <c r="O87" i="13"/>
  <c r="P87" i="13" s="1"/>
  <c r="O42" i="13"/>
  <c r="P42" i="13" s="1"/>
  <c r="O10" i="13"/>
  <c r="P10" i="13" s="1"/>
  <c r="O88" i="13"/>
  <c r="P88" i="13" s="1"/>
  <c r="O37" i="13"/>
  <c r="P37" i="13" s="1"/>
  <c r="O21" i="13"/>
  <c r="P21" i="13" s="1"/>
  <c r="O52" i="13"/>
  <c r="P52" i="13" s="1"/>
  <c r="O39" i="13"/>
  <c r="P39" i="13" s="1"/>
  <c r="O32" i="13"/>
  <c r="P32" i="13" s="1"/>
  <c r="O8" i="13"/>
  <c r="P8" i="13" s="1"/>
  <c r="T8" i="13" s="1"/>
  <c r="O3" i="13"/>
  <c r="P3" i="13" s="1"/>
  <c r="R3" i="13" s="1"/>
  <c r="O89" i="13"/>
  <c r="P89" i="13" s="1"/>
  <c r="O77" i="13"/>
  <c r="P77" i="13" s="1"/>
  <c r="O95" i="13"/>
  <c r="P95" i="13" s="1"/>
  <c r="O45" i="13"/>
  <c r="P45" i="13" s="1"/>
  <c r="O86" i="13"/>
  <c r="P86" i="13" s="1"/>
  <c r="O46" i="13"/>
  <c r="P46" i="13" s="1"/>
  <c r="P7" i="13"/>
  <c r="P68" i="13"/>
  <c r="O62" i="13"/>
  <c r="P62" i="13" s="1"/>
  <c r="O38" i="13"/>
  <c r="P38" i="13" s="1"/>
  <c r="P35" i="13"/>
  <c r="O35" i="13"/>
  <c r="O43" i="13"/>
  <c r="P43" i="13" s="1"/>
  <c r="O72" i="13"/>
  <c r="P72" i="13" s="1"/>
  <c r="P103" i="13"/>
  <c r="O101" i="13"/>
  <c r="P101" i="13" s="1"/>
  <c r="P80" i="13"/>
  <c r="O44" i="13"/>
  <c r="P44" i="13" s="1"/>
  <c r="P56" i="13"/>
  <c r="O29" i="13"/>
  <c r="P29" i="13" s="1"/>
  <c r="O27" i="13"/>
  <c r="P27" i="13" s="1"/>
  <c r="O19" i="13"/>
  <c r="P19" i="13" s="1"/>
  <c r="P147" i="13"/>
  <c r="P139" i="13"/>
  <c r="P135" i="13"/>
  <c r="P131" i="13"/>
  <c r="P127" i="13"/>
  <c r="P119" i="13"/>
  <c r="P115" i="13"/>
  <c r="P107" i="13"/>
  <c r="O150" i="13"/>
  <c r="P150" i="13" s="1"/>
  <c r="O146" i="13"/>
  <c r="P146" i="13" s="1"/>
  <c r="O130" i="13"/>
  <c r="P130" i="13" s="1"/>
  <c r="O118" i="13"/>
  <c r="P118" i="13" s="1"/>
  <c r="O114" i="13"/>
  <c r="P114" i="13" s="1"/>
  <c r="P105" i="13"/>
  <c r="P97" i="13"/>
  <c r="O94" i="13"/>
  <c r="P94" i="13" s="1"/>
  <c r="O123" i="13"/>
  <c r="P123" i="13" s="1"/>
  <c r="P126" i="13"/>
  <c r="P65" i="13"/>
  <c r="O63" i="13"/>
  <c r="P63" i="13" s="1"/>
  <c r="O143" i="13"/>
  <c r="P143" i="13" s="1"/>
  <c r="O54" i="13"/>
  <c r="P54" i="13" s="1"/>
  <c r="O73" i="13"/>
  <c r="P73" i="13" s="1"/>
  <c r="O111" i="13"/>
  <c r="P111" i="13" s="1"/>
  <c r="O57" i="13"/>
  <c r="P57" i="13" s="1"/>
  <c r="O106" i="13"/>
  <c r="P106" i="13" s="1"/>
  <c r="O93" i="13"/>
  <c r="P93" i="13" s="1"/>
  <c r="O81" i="13"/>
  <c r="P81" i="13" s="1"/>
  <c r="O26" i="13"/>
  <c r="P26" i="13" s="1"/>
  <c r="O50" i="13"/>
  <c r="P50" i="13" s="1"/>
  <c r="O11" i="13"/>
  <c r="P11" i="13" s="1"/>
  <c r="O4" i="13"/>
  <c r="P4" i="13" s="1"/>
  <c r="E3" i="16"/>
  <c r="P2" i="13" l="1"/>
  <c r="B3" i="16"/>
  <c r="B12" i="16"/>
  <c r="E1" i="16"/>
  <c r="E5" i="16" s="1"/>
  <c r="B1" i="16"/>
  <c r="B9" i="16"/>
  <c r="B5" i="16"/>
  <c r="B7" i="16"/>
  <c r="E7" i="16"/>
  <c r="T2" i="13" l="1"/>
  <c r="R2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30FDD1-9640-423C-ABE2-2ECC74B01C60}" keepAlive="1" name="Requête - BONS_LIVRAISON" description="Connexion à la requête « BONS_LIVRAISON » dans le classeur." type="5" refreshedVersion="8" background="1" saveData="1">
    <dbPr connection="Provider=Microsoft.Mashup.OleDb.1;Data Source=$Workbook$;Location=BONS_LIVRAISON;Extended Properties=&quot;&quot;" command="SELECT * FROM [BONS_LIVRAISON]"/>
  </connection>
  <connection id="2" xr16:uid="{71AB00AE-A2D6-4CA4-9E42-A207841399B4}" keepAlive="1" name="Requête - BONS_RECEPTION" description="Connexion à la requête « BONS_RECEPTION » dans le classeur." type="5" refreshedVersion="8" background="1" saveData="1">
    <dbPr connection="Provider=Microsoft.Mashup.OleDb.1;Data Source=$Workbook$;Location=BONS_RECEPTION;Extended Properties=&quot;&quot;" command="SELECT * FROM [BONS_RECEPTION]"/>
  </connection>
  <connection id="3" xr16:uid="{FA20E5BB-C7A7-48B2-A563-C9020F40EEB6}" keepAlive="1" name="Requête - DATA_CLIENTS" description="Connexion à la requête « DATA_CLIENTS » dans le classeur." type="5" refreshedVersion="8" background="1" saveData="1">
    <dbPr connection="Provider=Microsoft.Mashup.OleDb.1;Data Source=$Workbook$;Location=DATA_CLIENTS;Extended Properties=&quot;&quot;" command="SELECT * FROM [DATA_CLIENTS]"/>
  </connection>
  <connection id="4" xr16:uid="{AF82A87A-4A82-4868-9CD1-5F3BDDEC28C7}" keepAlive="1" name="Requête - DEVIS" description="Connexion à la requête « DEVIS » dans le classeur." type="5" refreshedVersion="8" background="1" saveData="1">
    <dbPr connection="Provider=Microsoft.Mashup.OleDb.1;Data Source=$Workbook$;Location=DEVIS;Extended Properties=&quot;&quot;" command="SELECT * FROM [DEVIS]"/>
  </connection>
  <connection id="5" xr16:uid="{C550D17B-D6B2-45CA-ADDB-0D50D8C4D04F}" keepAlive="1" name="Requête - FACTURES" description="Connexion à la requête « FACTURES » dans le classeur." type="5" refreshedVersion="8" background="1" saveData="1">
    <dbPr connection="Provider=Microsoft.Mashup.OleDb.1;Data Source=$Workbook$;Location=FACTURES;Extended Properties=&quot;&quot;" command="SELECT * FROM [FACTURES]"/>
  </connection>
  <connection id="6" xr16:uid="{9792996F-7AD5-4F5D-8479-8D7F04299AF1}" keepAlive="1" name="Requête - PAIEMENTS" description="Connexion à la requête « PAIEMENTS » dans le classeur." type="5" refreshedVersion="8" background="1" saveData="1">
    <dbPr connection="Provider=Microsoft.Mashup.OleDb.1;Data Source=$Workbook$;Location=PAIEMENTS;Extended Properties=&quot;&quot;" command="SELECT * FROM [PAIEMENTS]"/>
  </connection>
  <connection id="7" xr16:uid="{3E38C4A9-0C63-4704-B70B-B71C6A38CCA6}" keepAlive="1" name="Requête - PARAMETRES" description="Connexion à la requête « PARAMETRES » dans le classeur." type="5" refreshedVersion="8" background="1" saveData="1">
    <dbPr connection="Provider=Microsoft.Mashup.OleDb.1;Data Source=$Workbook$;Location=PARAMETRES;Extended Properties=&quot;&quot;" command="SELECT * FROM [PARAMETRES]"/>
  </connection>
  <connection id="8" xr16:uid="{98EF71C7-75E9-4801-A878-B52594248573}" keepAlive="1" name="Requête - SERVICES_TARIFS (3)" description="Connexion à la requête « SERVICES_TARIFS (3) » dans le classeur." type="5" refreshedVersion="8" background="1" saveData="1">
    <dbPr connection="Provider=Microsoft.Mashup.OleDb.1;Data Source=$Workbook$;Location=&quot;SERVICES_TARIFS (3)&quot;;Extended Properties=&quot;&quot;" command="SELECT * FROM [SERVICES_TARIFS (3)]"/>
  </connection>
  <connection id="9" xr16:uid="{1297F56B-F6BE-4B2F-8FA0-58A77C6E8976}" keepAlive="1" name="Requête - STOCKS" description="Connexion à la requête « STOCKS » dans le classeur." type="5" refreshedVersion="8" background="1" saveData="1">
    <dbPr connection="Provider=Microsoft.Mashup.OleDb.1;Data Source=$Workbook$;Location=STOCKS;Extended Properties=&quot;&quot;" command="SELECT * FROM [STOCKS]"/>
  </connection>
</connections>
</file>

<file path=xl/sharedStrings.xml><?xml version="1.0" encoding="utf-8"?>
<sst xmlns="http://schemas.openxmlformats.org/spreadsheetml/2006/main" count="747" uniqueCount="302">
  <si>
    <t>Nom</t>
  </si>
  <si>
    <t>CDC</t>
  </si>
  <si>
    <t>NIF</t>
  </si>
  <si>
    <t>STAT</t>
  </si>
  <si>
    <t>Adresse</t>
  </si>
  <si>
    <t>Contact</t>
  </si>
  <si>
    <t>E-Mail</t>
  </si>
  <si>
    <t>Langue</t>
  </si>
  <si>
    <t>Observation</t>
  </si>
  <si>
    <t>Polish Humanitarian Action (PHA)</t>
  </si>
  <si>
    <t>NS-CL-0001</t>
  </si>
  <si>
    <t>4018084367</t>
  </si>
  <si>
    <t>RN12-Fort-Dauphin, 614-Madagascar PAH Madagascar-Villa Lia-Amparihy</t>
  </si>
  <si>
    <t>+261 38 02 223 10 / JEANNE</t>
  </si>
  <si>
    <t>jeane.voalisoa@pah.org.pl</t>
  </si>
  <si>
    <t>FR</t>
  </si>
  <si>
    <t>Africa Sand Dam Foundation (ASDF)</t>
  </si>
  <si>
    <t>NS-CL-0002</t>
  </si>
  <si>
    <t>P051340106H</t>
  </si>
  <si>
    <t>P.O Box 205-90101, MASIL, Republic of Kenia.</t>
  </si>
  <si>
    <t>+261 34 87 545 90 - Mme NIRINA</t>
  </si>
  <si>
    <t>ZARA SERVICE</t>
  </si>
  <si>
    <t>NS-CL-0003</t>
  </si>
  <si>
    <t>4002425487</t>
  </si>
  <si>
    <t>Esokaka-Fort-Dauphin (614)</t>
  </si>
  <si>
    <t>+261 34 94 283 62</t>
  </si>
  <si>
    <t>Société MANIA</t>
  </si>
  <si>
    <t>NS-CL-0004</t>
  </si>
  <si>
    <t>3018296207</t>
  </si>
  <si>
    <t>Fokapo - Fort-Dauphin (614)</t>
  </si>
  <si>
    <t>038 56 493 00 &amp; 033 86 212 82</t>
  </si>
  <si>
    <t>rabarivelomany@gmail.com</t>
  </si>
  <si>
    <t>Société TANIAAUSTRAL</t>
  </si>
  <si>
    <t>NS-CL-0005</t>
  </si>
  <si>
    <t>3002511720</t>
  </si>
  <si>
    <t>Amboanato Fort-Dauphin (614)</t>
  </si>
  <si>
    <t>034 20 044 63</t>
  </si>
  <si>
    <t>taniaustral@gmail.com</t>
  </si>
  <si>
    <t>CANOPY</t>
  </si>
  <si>
    <t>NS-CL-0006</t>
  </si>
  <si>
    <t>Antananarivo</t>
  </si>
  <si>
    <t>+261 34 50 567 28</t>
  </si>
  <si>
    <t>stephanie.rabenja@canopy-energie.com</t>
  </si>
  <si>
    <t>Association Fanambinana</t>
  </si>
  <si>
    <t>NS-CL-0007</t>
  </si>
  <si>
    <t>Esokaka-Fort-Dauphin, 614-Madagascar</t>
  </si>
  <si>
    <t>+261 34 84 709 40</t>
  </si>
  <si>
    <t>association.fanambina@gmail.com</t>
  </si>
  <si>
    <t>ASSOCIATION MAZAVA</t>
  </si>
  <si>
    <t>NS-CL-0008</t>
  </si>
  <si>
    <t>v.massourie@gmail.com</t>
  </si>
  <si>
    <t>JACARANDAS</t>
  </si>
  <si>
    <t>NS-CL-0009</t>
  </si>
  <si>
    <t>Bazarikely Fort-Dauphin (614)</t>
  </si>
  <si>
    <t>+261 34 54 589 67</t>
  </si>
  <si>
    <t>fifi.jacarandas@gmail.com</t>
  </si>
  <si>
    <t>ENTREPRISE HARIAINA</t>
  </si>
  <si>
    <t>NS-CL-0010</t>
  </si>
  <si>
    <t>3003370521</t>
  </si>
  <si>
    <t>Lot III D Ankadilalana, Antananarivo Madagascar</t>
  </si>
  <si>
    <t>+261 34 86 243 46</t>
  </si>
  <si>
    <t>compta.hariaina@gmail.com</t>
  </si>
  <si>
    <t>Nouveau client 001</t>
  </si>
  <si>
    <t>NS-CL-0011</t>
  </si>
  <si>
    <t>Nouveau client 002</t>
  </si>
  <si>
    <t>NS-CL-0012</t>
  </si>
  <si>
    <t>Nouveau client 003</t>
  </si>
  <si>
    <t>NS-CL-0013</t>
  </si>
  <si>
    <t>Nouveau client 004</t>
  </si>
  <si>
    <t>NS-CL-0014</t>
  </si>
  <si>
    <t>Nouveau client 005</t>
  </si>
  <si>
    <t>NS-CL-0015</t>
  </si>
  <si>
    <t>Nouveau client 006</t>
  </si>
  <si>
    <t>NS-CL-0016</t>
  </si>
  <si>
    <t>Nouveau client 007</t>
  </si>
  <si>
    <t>NS-CL-0017</t>
  </si>
  <si>
    <t>Nouveau client 008</t>
  </si>
  <si>
    <t>NS-CL-0018</t>
  </si>
  <si>
    <t>Nouveau client 009</t>
  </si>
  <si>
    <t>NS-CL-0019</t>
  </si>
  <si>
    <t>Nouveau client 010</t>
  </si>
  <si>
    <t>NS-CL-0020</t>
  </si>
  <si>
    <t/>
  </si>
  <si>
    <t>Nouveau client 011</t>
  </si>
  <si>
    <t>NS-CL-0021</t>
  </si>
  <si>
    <t>Nouveau client 012</t>
  </si>
  <si>
    <t>NS-CL-0022</t>
  </si>
  <si>
    <t>Nouveau client 013</t>
  </si>
  <si>
    <t>NS-CL-0023</t>
  </si>
  <si>
    <t>Nouveau client 014</t>
  </si>
  <si>
    <t>NS-CL-0024</t>
  </si>
  <si>
    <t>Nouveau client 015</t>
  </si>
  <si>
    <t>NS-CL-0025</t>
  </si>
  <si>
    <t>Nouveau client 016</t>
  </si>
  <si>
    <t>NS-CL-0026</t>
  </si>
  <si>
    <t>Nouveau client 017</t>
  </si>
  <si>
    <t>NS-CL-0027</t>
  </si>
  <si>
    <t>Nouveau client 018</t>
  </si>
  <si>
    <t>NS-CL-0028</t>
  </si>
  <si>
    <t>Nouveau client 019</t>
  </si>
  <si>
    <t>NS-CL-0029</t>
  </si>
  <si>
    <t>Nouveau client 020</t>
  </si>
  <si>
    <t>NS-CL-0030</t>
  </si>
  <si>
    <t>Code</t>
  </si>
  <si>
    <t>Service / Service</t>
  </si>
  <si>
    <t>Unité / Unit</t>
  </si>
  <si>
    <t>Tarif min MGA</t>
  </si>
  <si>
    <t>Tarif max MGA</t>
  </si>
  <si>
    <t>TVA %</t>
  </si>
  <si>
    <t>Prix flexible</t>
  </si>
  <si>
    <t>LV-PU</t>
  </si>
  <si>
    <t>Location Pick Up</t>
  </si>
  <si>
    <t>jour / day</t>
  </si>
  <si>
    <t>Oui / Yes</t>
  </si>
  <si>
    <t>LV-SW</t>
  </si>
  <si>
    <t>Location Station Wagon</t>
  </si>
  <si>
    <t>FOU-MAT</t>
  </si>
  <si>
    <t>Fournitures de matériels</t>
  </si>
  <si>
    <t>unité / unit</t>
  </si>
  <si>
    <t>PRE-FOR</t>
  </si>
  <si>
    <t>Formation</t>
  </si>
  <si>
    <t>session / session</t>
  </si>
  <si>
    <t>PRE-JAR</t>
  </si>
  <si>
    <t>Jardinage</t>
  </si>
  <si>
    <t>prestation / service</t>
  </si>
  <si>
    <t>PRE-GAR</t>
  </si>
  <si>
    <t>Gardiennage</t>
  </si>
  <si>
    <t>jour ou mois / day or month</t>
  </si>
  <si>
    <t>PRE-CAF</t>
  </si>
  <si>
    <t>Service cafétéria</t>
  </si>
  <si>
    <t>CON-BAT</t>
  </si>
  <si>
    <t>Construction d’infrastructures - bâtiments</t>
  </si>
  <si>
    <t>projet / project</t>
  </si>
  <si>
    <t>CON-PUI</t>
  </si>
  <si>
    <t>Construction d’infrastructures - puits</t>
  </si>
  <si>
    <t>SOL-INST</t>
  </si>
  <si>
    <t>Installation équipements solaires</t>
  </si>
  <si>
    <t>AUTRE</t>
  </si>
  <si>
    <t>Autre service ou fourniture</t>
  </si>
  <si>
    <t>Column1</t>
  </si>
  <si>
    <t>Column2</t>
  </si>
  <si>
    <t>Column3</t>
  </si>
  <si>
    <t>Paramètre / Setting</t>
  </si>
  <si>
    <t>Valeur / Value</t>
  </si>
  <si>
    <t>Description / Description</t>
  </si>
  <si>
    <t>Entreprise / Company</t>
  </si>
  <si>
    <t>NOELI SERVICE</t>
  </si>
  <si>
    <t>Nom officiel</t>
  </si>
  <si>
    <t>Adresse / Address</t>
  </si>
  <si>
    <t>Ampasikabo</t>
  </si>
  <si>
    <t>Fort-Dauphin (614), Madagascar</t>
  </si>
  <si>
    <t>E-mail général / General email</t>
  </si>
  <si>
    <t>societenoeli@gmail.com</t>
  </si>
  <si>
    <t>Devise / Currency</t>
  </si>
  <si>
    <t>MGA</t>
  </si>
  <si>
    <t>Ariary malgache</t>
  </si>
  <si>
    <t>Langues / Languages</t>
  </si>
  <si>
    <t>Français / English</t>
  </si>
  <si>
    <t>Interface et documents bilingues</t>
  </si>
  <si>
    <t>TVA par défaut / Default VAT</t>
  </si>
  <si>
    <t>0%</t>
  </si>
  <si>
    <t>Modifiable selon évolution réglementaire</t>
  </si>
  <si>
    <t>Délai par défaut / Default payment term</t>
  </si>
  <si>
    <t>15</t>
  </si>
  <si>
    <t>Nombre de jours après service fait</t>
  </si>
  <si>
    <t>Délais disponibles / Available terms</t>
  </si>
  <si>
    <t>7|15|30|45|Personnalisé</t>
  </si>
  <si>
    <t>Choix flexible</t>
  </si>
  <si>
    <t>Modes de paiement / Payment methods</t>
  </si>
  <si>
    <t>Virement|Chèque|Mobile money|Espèce</t>
  </si>
  <si>
    <t>Compte bancaire / Bank account</t>
  </si>
  <si>
    <t>00008 00730 050030 207 80 32</t>
  </si>
  <si>
    <t>Information confidentielle</t>
  </si>
  <si>
    <t>Mvola</t>
  </si>
  <si>
    <t>038 64 989 60</t>
  </si>
  <si>
    <t>Orange Money</t>
  </si>
  <si>
    <t>032 01 218 50</t>
  </si>
  <si>
    <t>Préfixe facture / Invoice prefix</t>
  </si>
  <si>
    <t>FAC/NS-</t>
  </si>
  <si>
    <t>Format FAC/NS-AAAA-000</t>
  </si>
  <si>
    <t>Préfixe devis / Quote prefix</t>
  </si>
  <si>
    <t>DEV/NS-</t>
  </si>
  <si>
    <t>Format DEV/NS-AAAA-0000</t>
  </si>
  <si>
    <t>Préfixe BL / Delivery note prefix</t>
  </si>
  <si>
    <t>BL/NS-</t>
  </si>
  <si>
    <t>Format BL/NS-AAAA-000</t>
  </si>
  <si>
    <t>Préfixe BR / Receipt note prefix</t>
  </si>
  <si>
    <t>BR/NS-</t>
  </si>
  <si>
    <t>Format BR/NS-AAAA-000</t>
  </si>
  <si>
    <t>Année de travail / Working year</t>
  </si>
  <si>
    <t>2026</t>
  </si>
  <si>
    <t>À changer chaque nouvelle année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</si>
  <si>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</si>
  <si>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</si>
  <si>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</si>
  <si>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</si>
  <si>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</si>
  <si>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</si>
  <si>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</si>
  <si>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</si>
  <si>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</si>
  <si>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</si>
  <si>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</si>
  <si>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</si>
  <si>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N° facture / Invoice no</t>
  </si>
  <si>
    <t>Date</t>
  </si>
  <si>
    <t>N° client / Customer ID</t>
  </si>
  <si>
    <t>Client / Customer</t>
  </si>
  <si>
    <t>Description</t>
  </si>
  <si>
    <t>Quantité / Quantity</t>
  </si>
  <si>
    <t>Prix unitaire MGA / Unit price</t>
  </si>
  <si>
    <t>TVA % / VAT %</t>
  </si>
  <si>
    <t>Montant HT / Net amount</t>
  </si>
  <si>
    <t>TVA / VAT</t>
  </si>
  <si>
    <t>Total TTC / Gross total</t>
  </si>
  <si>
    <t>Statut / Status</t>
  </si>
  <si>
    <t>Brouillon / Draft</t>
  </si>
  <si>
    <t>N° devis / Quote no</t>
  </si>
  <si>
    <t>Validité jusqu’au / Valid until</t>
  </si>
  <si>
    <t>DEV/NS-2026-0001</t>
  </si>
  <si>
    <t>N° paiement / Payment no</t>
  </si>
  <si>
    <t>Montant MGA / Amount</t>
  </si>
  <si>
    <t>Mode de paiement / Payment method</t>
  </si>
  <si>
    <t>Référence / Reference</t>
  </si>
  <si>
    <t>PAY-2026-001</t>
  </si>
  <si>
    <t>N° BL / Delivery note no</t>
  </si>
  <si>
    <t>Livré par / Delivered by</t>
  </si>
  <si>
    <t>Reçu par / Received by</t>
  </si>
  <si>
    <t>BL/NS-2026-001</t>
  </si>
  <si>
    <t>N° BR / Receipt note no</t>
  </si>
  <si>
    <t>Fournisseur / Supplier</t>
  </si>
  <si>
    <t>État / Condition</t>
  </si>
  <si>
    <t>Réceptionné par / Received by</t>
  </si>
  <si>
    <t>BR/NS-2026-001</t>
  </si>
  <si>
    <t>Code produit / Product code</t>
  </si>
  <si>
    <t>Produit / Product</t>
  </si>
  <si>
    <t>Catégorie / Category</t>
  </si>
  <si>
    <t>Stock initial / Opening stock</t>
  </si>
  <si>
    <t>Entrées / In</t>
  </si>
  <si>
    <t>Sorties / Out</t>
  </si>
  <si>
    <t>Stock actuel / Current stock</t>
  </si>
  <si>
    <t>Seuil minimum / Minimum</t>
  </si>
  <si>
    <t>Alerte / Alert</t>
  </si>
  <si>
    <t>Module à activer ultérieurement / Future module</t>
  </si>
  <si>
    <t xml:space="preserve">Location de vehicule pour mission </t>
  </si>
  <si>
    <t>Non payé</t>
  </si>
  <si>
    <t>Partiellement payé</t>
  </si>
  <si>
    <t>CA total annuel</t>
  </si>
  <si>
    <t>CA du mois</t>
  </si>
  <si>
    <t>Factures en attente</t>
  </si>
  <si>
    <t>Factures payées</t>
  </si>
  <si>
    <t> Factures impayées</t>
  </si>
  <si>
    <t> CA par service</t>
  </si>
  <si>
    <t> Formation</t>
  </si>
  <si>
    <t>Maintenance</t>
  </si>
  <si>
    <t>Autre</t>
  </si>
  <si>
    <t>Total ventes</t>
  </si>
  <si>
    <t> Nombre de factures</t>
  </si>
  <si>
    <t> Moyenne par facture</t>
  </si>
  <si>
    <t>Taux de paiement</t>
  </si>
  <si>
    <t> Factures récentes</t>
  </si>
  <si>
    <t xml:space="preserve"> </t>
  </si>
  <si>
    <t xml:space="preserve">Mode de paiement </t>
  </si>
  <si>
    <t>Espèces</t>
  </si>
  <si>
    <t>Mobile Money</t>
  </si>
  <si>
    <t>Remise/Discount %</t>
  </si>
  <si>
    <t>Montant HT après remise/Amount after discount</t>
  </si>
  <si>
    <t>Montant Remise/Amount after discount</t>
  </si>
  <si>
    <t>TVA/VAT</t>
  </si>
  <si>
    <t>Total TTC/Total incl. VAT</t>
  </si>
  <si>
    <t>Date d'échéance/Due date</t>
  </si>
  <si>
    <t>Mode de paiement/Payment mode</t>
  </si>
  <si>
    <t>Statut/Status</t>
  </si>
  <si>
    <t xml:space="preserve">Observation </t>
  </si>
  <si>
    <t>Virement Bancaire</t>
  </si>
  <si>
    <t xml:space="preserve">Chèque de banque </t>
  </si>
  <si>
    <t>STATUT/STATUS</t>
  </si>
  <si>
    <t>Complet/Complete</t>
  </si>
  <si>
    <t>En attente/Pending</t>
  </si>
  <si>
    <t>Payé/Paid</t>
  </si>
  <si>
    <t>Annulé/Cancelled</t>
  </si>
  <si>
    <t>Partiellement payé/Partially Settled</t>
  </si>
  <si>
    <t>Type Facture</t>
  </si>
  <si>
    <t>Montant acompte envisagé</t>
  </si>
  <si>
    <t>Acompte reçu</t>
  </si>
  <si>
    <t>Reste à Payer</t>
  </si>
  <si>
    <t>N°Facture associée/Acompte lié</t>
  </si>
  <si>
    <t>Type de Facture</t>
  </si>
  <si>
    <t>Pro-forma</t>
  </si>
  <si>
    <t>Finale</t>
  </si>
  <si>
    <t>Acompte</t>
  </si>
  <si>
    <t>Simple</t>
  </si>
  <si>
    <t>Proforma</t>
  </si>
  <si>
    <t>Facture</t>
  </si>
  <si>
    <t>Acompte (%)</t>
  </si>
  <si>
    <t>FACP/NS-2026-001</t>
  </si>
  <si>
    <t>FACP/NS-2026-002</t>
  </si>
  <si>
    <t>FACP/NS-2026-003</t>
  </si>
  <si>
    <t>FAC/NS-2026-001</t>
  </si>
  <si>
    <t>FAC/NS-2026-002</t>
  </si>
  <si>
    <t>FAC/NS-2026-003</t>
  </si>
  <si>
    <t>FAC/NS-2026-004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</si>
</sst>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#,##0.00&quot; MGA&quot;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1F2328"/>
      <name val="Segoe UI"/>
      <family val="2"/>
    </font>
    <font>
      <sz val="9"/>
      <color rgb="FF1F2328"/>
      <name val="Consolas"/>
      <family val="3"/>
    </font>
    <font>
      <sz val="11"/>
      <color rgb="FF1F2328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slantDashDot">
        <color auto="1"/>
      </top>
      <bottom style="dotted">
        <color auto="1"/>
      </bottom>
      <diagonal/>
    </border>
    <border>
      <left style="slantDashDot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slantDashDot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slantDashDot">
        <color auto="1"/>
      </left>
      <right style="dotted">
        <color auto="1"/>
      </right>
      <top style="slantDashDot">
        <color auto="1"/>
      </top>
      <bottom style="slantDashDot">
        <color auto="1"/>
      </bottom>
      <diagonal/>
    </border>
    <border>
      <left style="dotted">
        <color auto="1"/>
      </left>
      <right style="dotted">
        <color auto="1"/>
      </right>
      <top style="slantDashDot">
        <color auto="1"/>
      </top>
      <bottom style="slantDashDot">
        <color auto="1"/>
      </bottom>
      <diagonal/>
    </border>
    <border>
      <left style="dotted">
        <color auto="1"/>
      </left>
      <right style="slantDashDot">
        <color auto="1"/>
      </right>
      <top style="slantDashDot">
        <color auto="1"/>
      </top>
      <bottom style="slantDashDot">
        <color auto="1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1"/>
  </cellStyleXfs>
  <cellXfs count="31">
    <xf numFmtId="0" fontId="0" fillId="0" borderId="0" xfId="0"/>
    <xf numFmtId="0" fontId="3" fillId="0" borderId="0" xfId="0" applyFont="1"/>
    <xf numFmtId="43" fontId="0" fillId="0" borderId="0" xfId="1" applyFont="1"/>
    <xf numFmtId="43" fontId="0" fillId="0" borderId="0" xfId="0" applyNumberFormat="1"/>
    <xf numFmtId="43" fontId="3" fillId="0" borderId="0" xfId="0" applyNumberFormat="1" applyFont="1"/>
    <xf numFmtId="0" fontId="3" fillId="0" borderId="0" xfId="0" applyFont="1" applyAlignment="1">
      <alignment horizontal="left" vertical="center" wrapText="1" indent="1"/>
    </xf>
    <xf numFmtId="10" fontId="0" fillId="0" borderId="0" xfId="2" applyNumberFormat="1" applyFont="1"/>
    <xf numFmtId="0" fontId="0" fillId="0" borderId="1" xfId="0" applyBorder="1"/>
    <xf numFmtId="0" fontId="3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 wrapText="1" indent="1"/>
    </xf>
    <xf numFmtId="0" fontId="0" fillId="0" borderId="2" xfId="0" applyBorder="1"/>
    <xf numFmtId="10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0" fontId="5" fillId="0" borderId="6" xfId="2" applyNumberFormat="1" applyFont="1" applyBorder="1" applyAlignment="1">
      <alignment horizontal="left" vertical="center" indent="2"/>
    </xf>
    <xf numFmtId="164" fontId="5" fillId="0" borderId="6" xfId="1" applyNumberFormat="1" applyFont="1" applyBorder="1" applyAlignment="1">
      <alignment horizontal="left" vertical="center" indent="2"/>
    </xf>
    <xf numFmtId="164" fontId="0" fillId="0" borderId="6" xfId="1" applyNumberFormat="1" applyFont="1" applyBorder="1" applyAlignment="1">
      <alignment horizontal="center"/>
    </xf>
    <xf numFmtId="14" fontId="5" fillId="0" borderId="6" xfId="0" applyNumberFormat="1" applyFont="1" applyBorder="1" applyAlignment="1">
      <alignment horizontal="left" vertical="center" indent="2"/>
    </xf>
    <xf numFmtId="0" fontId="0" fillId="0" borderId="6" xfId="0" applyBorder="1"/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 wrapText="1"/>
    </xf>
    <xf numFmtId="43" fontId="0" fillId="0" borderId="6" xfId="1" applyFont="1" applyBorder="1"/>
    <xf numFmtId="164" fontId="0" fillId="0" borderId="6" xfId="1" applyNumberFormat="1" applyFont="1" applyBorder="1"/>
    <xf numFmtId="0" fontId="0" fillId="2" borderId="9" xfId="0" applyFill="1" applyBorder="1" applyAlignment="1">
      <alignment horizontal="center" vertical="center"/>
    </xf>
    <xf numFmtId="14" fontId="3" fillId="0" borderId="6" xfId="0" applyNumberFormat="1" applyFont="1" applyBorder="1"/>
    <xf numFmtId="0" fontId="0" fillId="0" borderId="1" xfId="0" applyBorder="1" applyAlignment="1">
      <alignment horizontal="center"/>
    </xf>
    <xf numFmtId="0" fontId="5" fillId="0" borderId="0" xfId="0" applyFont="1" applyAlignment="1">
      <alignment horizontal="left" vertical="center" indent="2"/>
    </xf>
    <xf numFmtId="9" fontId="5" fillId="0" borderId="6" xfId="2" applyFont="1" applyBorder="1" applyAlignment="1">
      <alignment horizontal="left" vertical="center" indent="2"/>
    </xf>
  </cellXfs>
  <cellStyles count="4">
    <cellStyle name="Milliers" xfId="1" builtinId="3"/>
    <cellStyle name="Normal" xfId="0" builtinId="0"/>
    <cellStyle name="Pourcentage" xfId="2" builtinId="5"/>
    <cellStyle name="Style 1" xfId="3" xr:uid="{300A99E2-1A9C-4E05-A92F-3C2E9108F393}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Style de tableau 1" defaultPivotStyle="PivotStyleLight16">
    <tableStyle name="Style de tableau 1" pivot="0" count="0" xr9:uid="{688B97E0-CFDB-4832-9C76-2663E08027F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Dashboard!$A$11:$A$17</c:f>
              <c:strCache>
                <c:ptCount val="7"/>
                <c:pt idx="0">
                  <c:v> CA par service</c:v>
                </c:pt>
                <c:pt idx="1">
                  <c:v>Location Pick Up</c:v>
                </c:pt>
                <c:pt idx="2">
                  <c:v> Formation</c:v>
                </c:pt>
                <c:pt idx="3">
                  <c:v>Jardinage</c:v>
                </c:pt>
                <c:pt idx="4">
                  <c:v>Gardiennage</c:v>
                </c:pt>
                <c:pt idx="5">
                  <c:v>Maintenance</c:v>
                </c:pt>
                <c:pt idx="6">
                  <c:v>Autre</c:v>
                </c:pt>
              </c:strCache>
            </c:strRef>
          </c:cat>
          <c:val>
            <c:numRef>
              <c:f>Dashboard!$B$11:$B$17</c:f>
              <c:numCache>
                <c:formatCode>General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0-48C6-9F34-81036016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8894463"/>
        <c:axId val="388881983"/>
      </c:barChart>
      <c:catAx>
        <c:axId val="38889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8881983"/>
        <c:crosses val="autoZero"/>
        <c:auto val="1"/>
        <c:lblAlgn val="ctr"/>
        <c:lblOffset val="100"/>
        <c:noMultiLvlLbl val="0"/>
      </c:catAx>
      <c:valAx>
        <c:axId val="38888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8894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1</xdr:row>
      <xdr:rowOff>80962</xdr:rowOff>
    </xdr:from>
    <xdr:to>
      <xdr:col>15</xdr:col>
      <xdr:colOff>161925</xdr:colOff>
      <xdr:row>13</xdr:row>
      <xdr:rowOff>195262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5163D34-5530-A528-1D67-2D32E8F903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3" xr16:uid="{36CF8AA0-184A-499A-932D-F32734F56AFD}" autoFormatId="16" applyNumberFormats="0" applyBorderFormats="0" applyFontFormats="0" applyPatternFormats="0" applyAlignmentFormats="0" applyWidthHeightFormats="0">
  <queryTableRefresh nextId="10">
    <queryTableFields count="9">
      <queryTableField id="1" name="Nom" tableColumnId="10"/>
      <queryTableField id="2" name="CDC" tableColumnId="2"/>
      <queryTableField id="3" name="NIF" tableColumnId="3"/>
      <queryTableField id="4" name="STAT" tableColumnId="4"/>
      <queryTableField id="5" name="Adresse" tableColumnId="5"/>
      <queryTableField id="6" name="Contact" tableColumnId="6"/>
      <queryTableField id="7" name="E-Mail" tableColumnId="7"/>
      <queryTableField id="8" name="Langue" tableColumnId="8"/>
      <queryTableField id="9" name="Observation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8" xr16:uid="{276DCC95-AFA4-42F1-8638-82638BE0A01D}" autoFormatId="16" applyNumberFormats="0" applyBorderFormats="0" applyFontFormats="0" applyPatternFormats="0" applyAlignmentFormats="0" applyWidthHeightFormats="0">
  <queryTableRefresh nextId="9">
    <queryTableFields count="8">
      <queryTableField id="1" name="Code" tableColumnId="9"/>
      <queryTableField id="2" name="Service / Service" tableColumnId="2"/>
      <queryTableField id="3" name="Unité / Unit" tableColumnId="3"/>
      <queryTableField id="4" name="Tarif min MGA" tableColumnId="4"/>
      <queryTableField id="5" name="Tarif max MGA" tableColumnId="5"/>
      <queryTableField id="6" name="TVA %" tableColumnId="6"/>
      <queryTableField id="7" name="Prix flexible" tableColumnId="7"/>
      <queryTableField id="8" name="Observation / Note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headers="0" connectionId="7" xr16:uid="{318DF551-5CD0-4931-8648-6D7C6A9228DC}" autoFormatId="16" applyNumberFormats="0" applyBorderFormats="0" applyFontFormats="0" applyPatternFormats="0" applyAlignmentFormats="0" applyWidthHeightFormats="0">
  <queryTableRefresh headersInLastRefresh="0" nextId="7" unboundColumnsRight="2">
    <queryTableFields count="5">
      <queryTableField id="1" name="Column1" tableColumnId="4"/>
      <queryTableField id="2" name="Column2" tableColumnId="2"/>
      <queryTableField id="3" name="Column3" tableColumnId="3"/>
      <queryTableField id="6" dataBound="0" tableColumnId="6"/>
      <queryTableField id="4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4" xr16:uid="{5EE9E0F7-470C-4FA4-8576-8CEC9331470E}" autoFormatId="16" applyNumberFormats="0" applyBorderFormats="0" applyFontFormats="0" applyPatternFormats="0" applyAlignmentFormats="0" applyWidthHeightFormats="0">
  <queryTableRefresh nextId="16">
    <queryTableFields count="15">
      <queryTableField id="1" name="Column1" tableColumnId="16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6" xr16:uid="{2354643F-77A4-49C2-AA5D-22F386A8BA08}" autoFormatId="16" applyNumberFormats="0" applyBorderFormats="0" applyFontFormats="0" applyPatternFormats="0" applyAlignmentFormats="0" applyWidthHeightFormats="0">
  <queryTableRefresh nextId="9">
    <queryTableFields count="8">
      <queryTableField id="1" name="Column1" tableColumnId="9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83BD556B-E45A-4955-BB92-56A46C8FC433}" autoFormatId="16" applyNumberFormats="0" applyBorderFormats="0" applyFontFormats="0" applyPatternFormats="0" applyAlignmentFormats="0" applyWidthHeightFormats="0">
  <queryTableRefresh nextId="10">
    <queryTableFields count="9">
      <queryTableField id="1" name="Column1" tableColumnId="10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BAABA901-63D3-4BAA-ADF5-5EB5A87BDA16}" autoFormatId="16" applyNumberFormats="0" applyBorderFormats="0" applyFontFormats="0" applyPatternFormats="0" applyAlignmentFormats="0" applyWidthHeightFormats="0">
  <queryTableRefresh nextId="9">
    <queryTableFields count="8">
      <queryTableField id="1" name="Column1" tableColumnId="9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9" xr16:uid="{4AC8212A-8428-4FE7-9379-FA7A36F4512D}" autoFormatId="16" applyNumberFormats="0" applyBorderFormats="0" applyFontFormats="0" applyPatternFormats="0" applyAlignmentFormats="0" applyWidthHeightFormats="0">
  <queryTableRefresh nextId="13">
    <queryTableFields count="12">
      <queryTableField id="1" name="Column1" tableColumnId="13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0A6B9E-7C9C-46AE-8E5C-544F4597D30D}" name="DATA_CLIENTS" displayName="DATA_CLIENTS" ref="A1:I41" tableType="queryTable" totalsRowShown="0">
  <autoFilter ref="A1:I41" xr:uid="{BC0A6B9E-7C9C-46AE-8E5C-544F4597D30D}"/>
  <tableColumns count="9">
    <tableColumn id="10" xr3:uid="{DB32673B-69F5-4284-A8B0-4AB5DF02C7C4}" uniqueName="10" name="Nom" queryTableFieldId="1" dataDxfId="71"/>
    <tableColumn id="2" xr3:uid="{D2F84D18-2D51-47C7-9CA7-0017A047AC68}" uniqueName="2" name="CDC" queryTableFieldId="2" dataDxfId="70"/>
    <tableColumn id="3" xr3:uid="{1CC6121A-FE25-45D0-9F68-FDC63CF318CB}" uniqueName="3" name="NIF" queryTableFieldId="3" dataDxfId="69"/>
    <tableColumn id="4" xr3:uid="{9C0B7DE3-3ACA-40A2-A663-20D0E8778797}" uniqueName="4" name="STAT" queryTableFieldId="4"/>
    <tableColumn id="5" xr3:uid="{5FF49F82-37F9-4060-8D2F-86309EE40AA7}" uniqueName="5" name="Adresse" queryTableFieldId="5" dataDxfId="68"/>
    <tableColumn id="6" xr3:uid="{3308CFF6-298E-4356-A94E-F8AF4A9A7C70}" uniqueName="6" name="Contact" queryTableFieldId="6" dataDxfId="67"/>
    <tableColumn id="7" xr3:uid="{A0874FF7-4787-48D2-B47F-1ADDB665F29C}" uniqueName="7" name="E-Mail" queryTableFieldId="7" dataDxfId="66"/>
    <tableColumn id="8" xr3:uid="{74A68FF4-DF00-4EAF-9A19-576D16D61C89}" uniqueName="8" name="Langue" queryTableFieldId="8" dataDxfId="65"/>
    <tableColumn id="9" xr3:uid="{3F21E60E-D89A-4654-BE12-29B9FFFD122A}" uniqueName="9" name="Observation" queryTableFieldId="9" dataDxfId="6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20AFB3-2DFC-4286-A890-07803509D62E}" name="SERVICES_TARIFS__3" displayName="SERVICES_TARIFS__3" ref="A1:H150" tableType="queryTable" totalsRowShown="0">
  <autoFilter ref="A1:H150" xr:uid="{2220AFB3-2DFC-4286-A890-07803509D62E}"/>
  <tableColumns count="8">
    <tableColumn id="9" xr3:uid="{303987AB-D2C0-4DEE-9A66-B119BED60680}" uniqueName="9" name="Code" queryTableFieldId="1" dataDxfId="63"/>
    <tableColumn id="2" xr3:uid="{EC816CDE-32BC-4C6C-A468-0CA26AC6F18D}" uniqueName="2" name="Service / Service" queryTableFieldId="2" dataDxfId="62"/>
    <tableColumn id="3" xr3:uid="{0B85A7A9-9152-40AB-9049-537BB5F8C9A8}" uniqueName="3" name="Unité / Unit" queryTableFieldId="3" dataDxfId="61"/>
    <tableColumn id="4" xr3:uid="{75330223-8F8C-49F0-9FC9-907CCE398459}" uniqueName="4" name="Tarif min MGA" queryTableFieldId="4" dataCellStyle="Milliers"/>
    <tableColumn id="5" xr3:uid="{9BEC9C9A-1C00-43BD-9FE7-E6E6555339AB}" uniqueName="5" name="Tarif max MGA" queryTableFieldId="5" dataCellStyle="Milliers"/>
    <tableColumn id="6" xr3:uid="{FF493D78-FFF9-4B48-8F07-5982E62E8578}" uniqueName="6" name="TVA %" queryTableFieldId="6" dataDxfId="60" dataCellStyle="Pourcentage"/>
    <tableColumn id="7" xr3:uid="{2D37CF95-314A-42B3-98DC-F2F6B00C7F2F}" uniqueName="7" name="Prix flexible" queryTableFieldId="7" dataDxfId="59"/>
    <tableColumn id="8" xr3:uid="{4F3F0319-AE78-485F-A7EA-9962CF32BCC1}" uniqueName="8" name="Observation" queryTableFieldId="8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D173D-B0D2-4C75-ABDF-B30C22E575F7}" name="PARAMETRES" displayName="PARAMETRES" ref="D1:H18" tableType="queryTable" headerRowCount="0" totalsRowShown="0" headerRowDxfId="57">
  <tableColumns count="5">
    <tableColumn id="4" xr3:uid="{6AC67D0A-D80B-4371-A3EB-95C8BFE494BC}" uniqueName="4" name="Column1" queryTableFieldId="1" dataDxfId="56"/>
    <tableColumn id="2" xr3:uid="{11D6A87F-FA1D-4A17-83F5-0E120B6BA68C}" uniqueName="2" name="Column2" queryTableFieldId="2" dataDxfId="55"/>
    <tableColumn id="3" xr3:uid="{BC6E4427-E7FB-40F1-AA05-986B4897A29D}" uniqueName="3" name="Column3" queryTableFieldId="3" dataDxfId="54"/>
    <tableColumn id="6" xr3:uid="{A0D9FFD2-879A-4452-ABCA-7EF481F1BF8B}" uniqueName="6" name="Colonne1" queryTableFieldId="6" dataDxfId="53"/>
    <tableColumn id="1" xr3:uid="{2B8D8C59-E53E-4ECF-84F6-519AF853FB37}" uniqueName="1" name="Column4" queryTableFieldId="4" dataDxfId="5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6962B4-4905-4B6F-954E-0A25CD528760}" name="DEVIS" displayName="DEVIS" ref="A1:O3" tableType="queryTable" totalsRowShown="0">
  <autoFilter ref="A1:O3" xr:uid="{C16962B4-4905-4B6F-954E-0A25CD528760}"/>
  <tableColumns count="15">
    <tableColumn id="16" xr3:uid="{04296D1D-F593-481F-AEB0-B369C5D79EF4}" uniqueName="16" name="Column1" queryTableFieldId="1" dataDxfId="51"/>
    <tableColumn id="2" xr3:uid="{CC213808-8A5C-4EFA-AA94-CFC22E3F093F}" uniqueName="2" name="Column2" queryTableFieldId="2" dataDxfId="50"/>
    <tableColumn id="3" xr3:uid="{4CAEF525-7912-4FFF-BB9F-48516956B76B}" uniqueName="3" name="Column3" queryTableFieldId="3" dataDxfId="49"/>
    <tableColumn id="4" xr3:uid="{AD685A2B-44C4-40B3-AF9E-9178AB11DE73}" uniqueName="4" name="Column4" queryTableFieldId="4" dataDxfId="48"/>
    <tableColumn id="5" xr3:uid="{D48EE60F-15DD-41E0-8BA0-AF505B8833A8}" uniqueName="5" name="Column5" queryTableFieldId="5" dataDxfId="47"/>
    <tableColumn id="6" xr3:uid="{28539448-F9B8-4669-A833-37DA377322AD}" uniqueName="6" name="Column6" queryTableFieldId="6" dataDxfId="46"/>
    <tableColumn id="7" xr3:uid="{FCFDE4D7-C17B-447C-A3C2-AF4E0C62F19A}" uniqueName="7" name="Column7" queryTableFieldId="7" dataDxfId="45"/>
    <tableColumn id="8" xr3:uid="{F733B85A-8EAE-4B2D-9657-C62EC01ACCF1}" uniqueName="8" name="Column8" queryTableFieldId="8" dataDxfId="44"/>
    <tableColumn id="9" xr3:uid="{EB14D760-2AE2-4F5D-9698-A268BDBD056B}" uniqueName="9" name="Column9" queryTableFieldId="9" dataDxfId="43"/>
    <tableColumn id="10" xr3:uid="{55DB5B0E-3090-45C7-8820-D54C8687D07A}" uniqueName="10" name="Column10" queryTableFieldId="10" dataDxfId="42"/>
    <tableColumn id="11" xr3:uid="{8CD09FCB-8220-40A3-8FA2-6D074BD3291B}" uniqueName="11" name="Column11" queryTableFieldId="11" dataDxfId="41"/>
    <tableColumn id="12" xr3:uid="{85936E5D-7F1C-4F98-9358-2B34E139AC7D}" uniqueName="12" name="Column12" queryTableFieldId="12" dataDxfId="40"/>
    <tableColumn id="13" xr3:uid="{3655AE6C-BA50-48FB-9FA6-C5AA06347C3A}" uniqueName="13" name="Column13" queryTableFieldId="13" dataDxfId="39"/>
    <tableColumn id="14" xr3:uid="{F0B9C930-1E39-4A17-B98C-89CCED08ABAE}" uniqueName="14" name="Column14" queryTableFieldId="14" dataDxfId="38"/>
    <tableColumn id="15" xr3:uid="{A216DCB0-3FD3-4273-8C90-0F67DE25A61B}" uniqueName="15" name="Column15" queryTableFieldId="15" dataDxfId="3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31B2831-3901-45C8-BE36-9A79B6A7C67D}" name="PAIEMENTS" displayName="PAIEMENTS" ref="A1:H3" tableType="queryTable" totalsRowShown="0">
  <autoFilter ref="A1:H3" xr:uid="{331B2831-3901-45C8-BE36-9A79B6A7C67D}"/>
  <tableColumns count="8">
    <tableColumn id="9" xr3:uid="{F0BB8D50-5A09-4495-9991-98E52C1A8DB2}" uniqueName="9" name="Column1" queryTableFieldId="1" dataDxfId="36"/>
    <tableColumn id="2" xr3:uid="{50B0C60B-ED1E-4AC0-8463-34656BBB2EE7}" uniqueName="2" name="Column2" queryTableFieldId="2" dataDxfId="35"/>
    <tableColumn id="3" xr3:uid="{D9859313-D840-4E5C-A3F4-13AFE168A2D5}" uniqueName="3" name="Column3" queryTableFieldId="3" dataDxfId="34"/>
    <tableColumn id="4" xr3:uid="{8754C258-7E5C-4762-9C08-756DA4CF7227}" uniqueName="4" name="Column4" queryTableFieldId="4" dataDxfId="33"/>
    <tableColumn id="5" xr3:uid="{F1250F7B-3C7D-4764-A6B2-4C92B73F2CA2}" uniqueName="5" name="Column5" queryTableFieldId="5" dataDxfId="32"/>
    <tableColumn id="6" xr3:uid="{567DC8A1-63BE-442D-8CD9-C1FA11BB7EC6}" uniqueName="6" name="Column6" queryTableFieldId="6" dataDxfId="31"/>
    <tableColumn id="7" xr3:uid="{E019B3B2-1076-4119-B99F-23F4CA9C0699}" uniqueName="7" name="Column7" queryTableFieldId="7" dataDxfId="30"/>
    <tableColumn id="8" xr3:uid="{FBB78F38-6C44-41F1-B868-D3B62868575D}" uniqueName="8" name="Column8" queryTableFieldId="8" dataDxfId="2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B3B69A-023E-4CA2-BE27-4C723B409C6F}" name="BONS_LIVRAISON" displayName="BONS_LIVRAISON" ref="A1:I3" tableType="queryTable" totalsRowShown="0">
  <autoFilter ref="A1:I3" xr:uid="{ECB3B69A-023E-4CA2-BE27-4C723B409C6F}"/>
  <tableColumns count="9">
    <tableColumn id="10" xr3:uid="{BDA2F857-2341-4401-A74C-FD7C9A23D375}" uniqueName="10" name="Column1" queryTableFieldId="1" dataDxfId="28"/>
    <tableColumn id="2" xr3:uid="{2A286AB2-EFC7-422C-98F4-8AE9AD32FEB8}" uniqueName="2" name="Column2" queryTableFieldId="2" dataDxfId="27"/>
    <tableColumn id="3" xr3:uid="{E4D24547-75AE-4B90-8254-CC1906FC4956}" uniqueName="3" name="Column3" queryTableFieldId="3" dataDxfId="26"/>
    <tableColumn id="4" xr3:uid="{C2AA6DDF-E57B-481E-BB3A-4EF22FF562C8}" uniqueName="4" name="Column4" queryTableFieldId="4" dataDxfId="25"/>
    <tableColumn id="5" xr3:uid="{688800A4-A6D0-45A0-AC4F-5E0907C805E6}" uniqueName="5" name="Column5" queryTableFieldId="5" dataDxfId="24"/>
    <tableColumn id="6" xr3:uid="{34F28B9C-6A81-48DE-8AEA-DBC974D710E3}" uniqueName="6" name="Column6" queryTableFieldId="6" dataDxfId="23"/>
    <tableColumn id="7" xr3:uid="{BB126647-785D-4084-B658-FCCFD287104D}" uniqueName="7" name="Column7" queryTableFieldId="7" dataDxfId="22"/>
    <tableColumn id="8" xr3:uid="{2B074C90-D456-4399-BD75-ED4D0CFF9405}" uniqueName="8" name="Column8" queryTableFieldId="8" dataDxfId="21"/>
    <tableColumn id="9" xr3:uid="{1D4D9C82-AB05-4007-AA2F-1D8F48B27DA1}" uniqueName="9" name="Column9" queryTableFieldId="9" dataDxfId="2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ECF6B-C806-49AE-9CD2-DC6A868AAB1F}" name="BONS_RECEPTION" displayName="BONS_RECEPTION" ref="A1:H3" tableType="queryTable" totalsRowShown="0">
  <autoFilter ref="A1:H3" xr:uid="{46FECF6B-C806-49AE-9CD2-DC6A868AAB1F}"/>
  <tableColumns count="8">
    <tableColumn id="9" xr3:uid="{2E42E2B8-B9B2-4489-BF6A-33891325247D}" uniqueName="9" name="Column1" queryTableFieldId="1" dataDxfId="19"/>
    <tableColumn id="2" xr3:uid="{CF86AE52-F82C-4B7B-98AE-4920364CB6BE}" uniqueName="2" name="Column2" queryTableFieldId="2" dataDxfId="18"/>
    <tableColumn id="3" xr3:uid="{9F388E29-666B-4F3D-B6B7-0BA98C1FB2A2}" uniqueName="3" name="Column3" queryTableFieldId="3" dataDxfId="17"/>
    <tableColumn id="4" xr3:uid="{8CF819D9-396B-4890-BECA-AAD7D210E75F}" uniqueName="4" name="Column4" queryTableFieldId="4" dataDxfId="16"/>
    <tableColumn id="5" xr3:uid="{C7F26340-9987-4B44-85BD-E572E7771E06}" uniqueName="5" name="Column5" queryTableFieldId="5" dataDxfId="15"/>
    <tableColumn id="6" xr3:uid="{AAB70529-08D1-4608-9C97-7CB4E0E5B727}" uniqueName="6" name="Column6" queryTableFieldId="6" dataDxfId="14"/>
    <tableColumn id="7" xr3:uid="{8472A96A-91DB-40BF-A2CA-4A9CCBC1B22E}" uniqueName="7" name="Column7" queryTableFieldId="7" dataDxfId="13"/>
    <tableColumn id="8" xr3:uid="{149A3C0D-2407-42E6-AE00-9E21BBA950CE}" uniqueName="8" name="Column8" queryTableFieldId="8" dataDxf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D48637D-290B-487A-B313-BABB5731608C}" name="STOCKS" displayName="STOCKS" ref="A1:L3" tableType="queryTable" totalsRowShown="0">
  <autoFilter ref="A1:L3" xr:uid="{CD48637D-290B-487A-B313-BABB5731608C}"/>
  <tableColumns count="12">
    <tableColumn id="13" xr3:uid="{2E1F8C85-CB8A-4A44-9757-384DA4BC6765}" uniqueName="13" name="Column1" queryTableFieldId="1" dataDxfId="11"/>
    <tableColumn id="2" xr3:uid="{2860DB07-5EA1-43DD-95BD-3693D9FED26A}" uniqueName="2" name="Column2" queryTableFieldId="2" dataDxfId="10"/>
    <tableColumn id="3" xr3:uid="{7F7B719F-CD71-4CEF-8444-AC9BCCE736BB}" uniqueName="3" name="Column3" queryTableFieldId="3" dataDxfId="9"/>
    <tableColumn id="4" xr3:uid="{83141F94-B45C-445A-A3EF-E318EDFD01F5}" uniqueName="4" name="Column4" queryTableFieldId="4" dataDxfId="8"/>
    <tableColumn id="5" xr3:uid="{358726F1-BFF0-4AB0-A202-8BDC5301AAF2}" uniqueName="5" name="Column5" queryTableFieldId="5" dataDxfId="7"/>
    <tableColumn id="6" xr3:uid="{E67CBDD6-5B76-43CD-8E72-7F7557E53D0F}" uniqueName="6" name="Column6" queryTableFieldId="6" dataDxfId="6"/>
    <tableColumn id="7" xr3:uid="{8A3A3DE6-835C-4FF5-AC2A-F57C0394F709}" uniqueName="7" name="Column7" queryTableFieldId="7" dataDxfId="5"/>
    <tableColumn id="8" xr3:uid="{E86E9BC0-F78E-4AE0-9910-E966AA23C2C4}" uniqueName="8" name="Column8" queryTableFieldId="8" dataDxfId="4"/>
    <tableColumn id="9" xr3:uid="{DD7F2D59-80BF-479A-A629-DAAA4A142817}" uniqueName="9" name="Column9" queryTableFieldId="9" dataDxfId="3"/>
    <tableColumn id="10" xr3:uid="{45F069E1-5D30-4643-9E76-A97C739DB0CC}" uniqueName="10" name="Column10" queryTableFieldId="10" dataDxfId="2"/>
    <tableColumn id="11" xr3:uid="{EA15CC1E-6424-4E72-817D-2007E6A52B5C}" uniqueName="11" name="Column11" queryTableFieldId="11" dataDxfId="1"/>
    <tableColumn id="12" xr3:uid="{8CD1D890-6210-4A84-BC00-0FCC6C15A6A8}" uniqueName="12" name="Column12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47511-7253-4ECA-BC61-E48874E4AF70}">
  <sheetPr codeName="Feuil2"/>
  <dimension ref="A1:I31"/>
  <sheetViews>
    <sheetView topLeftCell="A6" workbookViewId="0">
      <selection activeCell="J27" sqref="J27"/>
    </sheetView>
  </sheetViews>
  <sheetFormatPr baseColWidth="10" defaultRowHeight="15" x14ac:dyDescent="0.25"/>
  <cols>
    <col min="1" max="1" width="32.85546875" bestFit="1" customWidth="1"/>
    <col min="2" max="2" width="10.85546875" bestFit="1" customWidth="1"/>
    <col min="3" max="3" width="12.42578125" bestFit="1" customWidth="1"/>
    <col min="4" max="4" width="12" bestFit="1" customWidth="1"/>
    <col min="5" max="5" width="66.140625" bestFit="1" customWidth="1"/>
    <col min="6" max="6" width="29.140625" bestFit="1" customWidth="1"/>
    <col min="7" max="7" width="37.85546875" bestFit="1" customWidth="1"/>
    <col min="8" max="8" width="9.5703125" bestFit="1" customWidth="1"/>
    <col min="9" max="9" width="14.140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10</v>
      </c>
      <c r="C2" t="s">
        <v>11</v>
      </c>
      <c r="D2">
        <v>9.49511120230052E+16</v>
      </c>
      <c r="E2" t="s">
        <v>12</v>
      </c>
      <c r="F2" t="s">
        <v>13</v>
      </c>
      <c r="G2" t="s">
        <v>14</v>
      </c>
      <c r="H2" t="s">
        <v>15</v>
      </c>
      <c r="I2" t="s">
        <v>82</v>
      </c>
    </row>
    <row r="3" spans="1:9" x14ac:dyDescent="0.25">
      <c r="A3" t="s">
        <v>16</v>
      </c>
      <c r="B3" t="s">
        <v>17</v>
      </c>
      <c r="C3" t="s">
        <v>18</v>
      </c>
      <c r="E3" t="s">
        <v>19</v>
      </c>
      <c r="F3" t="s">
        <v>20</v>
      </c>
      <c r="G3" t="s">
        <v>82</v>
      </c>
      <c r="H3" t="s">
        <v>15</v>
      </c>
      <c r="I3" t="s">
        <v>82</v>
      </c>
    </row>
    <row r="4" spans="1:9" x14ac:dyDescent="0.25">
      <c r="A4" t="s">
        <v>21</v>
      </c>
      <c r="B4" t="s">
        <v>22</v>
      </c>
      <c r="C4" t="s">
        <v>23</v>
      </c>
      <c r="D4">
        <v>7.490853201600048E+16</v>
      </c>
      <c r="E4" t="s">
        <v>24</v>
      </c>
      <c r="F4" t="s">
        <v>25</v>
      </c>
      <c r="G4" t="s">
        <v>82</v>
      </c>
      <c r="H4" t="s">
        <v>15</v>
      </c>
      <c r="I4" t="s">
        <v>82</v>
      </c>
    </row>
    <row r="5" spans="1:9" x14ac:dyDescent="0.25">
      <c r="A5" t="s">
        <v>26</v>
      </c>
      <c r="B5" t="s">
        <v>27</v>
      </c>
      <c r="C5" t="s">
        <v>28</v>
      </c>
      <c r="D5">
        <v>4.6101312023001416E+16</v>
      </c>
      <c r="E5" t="s">
        <v>29</v>
      </c>
      <c r="F5" t="s">
        <v>30</v>
      </c>
      <c r="G5" t="s">
        <v>31</v>
      </c>
      <c r="H5" t="s">
        <v>15</v>
      </c>
      <c r="I5" t="s">
        <v>82</v>
      </c>
    </row>
    <row r="6" spans="1:9" x14ac:dyDescent="0.25">
      <c r="A6" t="s">
        <v>32</v>
      </c>
      <c r="B6" t="s">
        <v>33</v>
      </c>
      <c r="C6" t="s">
        <v>34</v>
      </c>
      <c r="D6">
        <v>4.9295532016000544E+16</v>
      </c>
      <c r="E6" t="s">
        <v>35</v>
      </c>
      <c r="F6" t="s">
        <v>36</v>
      </c>
      <c r="G6" t="s">
        <v>37</v>
      </c>
      <c r="H6" t="s">
        <v>15</v>
      </c>
      <c r="I6" t="s">
        <v>82</v>
      </c>
    </row>
    <row r="7" spans="1:9" x14ac:dyDescent="0.25">
      <c r="A7" t="s">
        <v>38</v>
      </c>
      <c r="B7" t="s">
        <v>39</v>
      </c>
      <c r="C7" t="s">
        <v>82</v>
      </c>
      <c r="E7" t="s">
        <v>40</v>
      </c>
      <c r="F7" t="s">
        <v>41</v>
      </c>
      <c r="G7" t="s">
        <v>42</v>
      </c>
      <c r="H7" t="s">
        <v>15</v>
      </c>
      <c r="I7" t="s">
        <v>82</v>
      </c>
    </row>
    <row r="8" spans="1:9" x14ac:dyDescent="0.25">
      <c r="A8" t="s">
        <v>43</v>
      </c>
      <c r="B8" t="s">
        <v>44</v>
      </c>
      <c r="C8" t="s">
        <v>82</v>
      </c>
      <c r="E8" t="s">
        <v>45</v>
      </c>
      <c r="F8" t="s">
        <v>46</v>
      </c>
      <c r="G8" t="s">
        <v>47</v>
      </c>
      <c r="H8" t="s">
        <v>15</v>
      </c>
      <c r="I8" t="s">
        <v>82</v>
      </c>
    </row>
    <row r="9" spans="1:9" x14ac:dyDescent="0.25">
      <c r="A9" t="s">
        <v>48</v>
      </c>
      <c r="B9" t="s">
        <v>49</v>
      </c>
      <c r="C9" t="s">
        <v>82</v>
      </c>
      <c r="E9" t="s">
        <v>82</v>
      </c>
      <c r="F9" t="s">
        <v>82</v>
      </c>
      <c r="G9" t="s">
        <v>50</v>
      </c>
      <c r="H9" t="s">
        <v>15</v>
      </c>
      <c r="I9" t="s">
        <v>82</v>
      </c>
    </row>
    <row r="10" spans="1:9" x14ac:dyDescent="0.25">
      <c r="A10" t="s">
        <v>51</v>
      </c>
      <c r="B10" t="s">
        <v>52</v>
      </c>
      <c r="C10" t="s">
        <v>82</v>
      </c>
      <c r="E10" t="s">
        <v>53</v>
      </c>
      <c r="F10" t="s">
        <v>54</v>
      </c>
      <c r="G10" t="s">
        <v>55</v>
      </c>
      <c r="H10" t="s">
        <v>15</v>
      </c>
      <c r="I10" t="s">
        <v>82</v>
      </c>
    </row>
    <row r="11" spans="1:9" x14ac:dyDescent="0.25">
      <c r="A11" t="s">
        <v>56</v>
      </c>
      <c r="B11" t="s">
        <v>57</v>
      </c>
      <c r="C11" t="s">
        <v>58</v>
      </c>
      <c r="D11">
        <v>4.1001112019003152E+16</v>
      </c>
      <c r="E11" t="s">
        <v>59</v>
      </c>
      <c r="F11" t="s">
        <v>60</v>
      </c>
      <c r="G11" t="s">
        <v>61</v>
      </c>
      <c r="H11" t="s">
        <v>15</v>
      </c>
      <c r="I11" t="s">
        <v>82</v>
      </c>
    </row>
    <row r="12" spans="1:9" x14ac:dyDescent="0.25">
      <c r="A12" t="s">
        <v>62</v>
      </c>
      <c r="B12" t="s">
        <v>63</v>
      </c>
      <c r="C12" t="s">
        <v>82</v>
      </c>
      <c r="E12" t="s">
        <v>82</v>
      </c>
      <c r="F12" t="s">
        <v>82</v>
      </c>
      <c r="G12" t="s">
        <v>82</v>
      </c>
      <c r="H12" t="s">
        <v>82</v>
      </c>
      <c r="I12" t="s">
        <v>82</v>
      </c>
    </row>
    <row r="13" spans="1:9" x14ac:dyDescent="0.25">
      <c r="A13" t="s">
        <v>64</v>
      </c>
      <c r="B13" t="s">
        <v>65</v>
      </c>
      <c r="C13" t="s">
        <v>82</v>
      </c>
      <c r="E13" t="s">
        <v>82</v>
      </c>
      <c r="F13" t="s">
        <v>82</v>
      </c>
      <c r="G13" t="s">
        <v>82</v>
      </c>
      <c r="H13" t="s">
        <v>82</v>
      </c>
      <c r="I13" t="s">
        <v>82</v>
      </c>
    </row>
    <row r="14" spans="1:9" x14ac:dyDescent="0.25">
      <c r="A14" t="s">
        <v>66</v>
      </c>
      <c r="B14" t="s">
        <v>67</v>
      </c>
      <c r="C14" t="s">
        <v>82</v>
      </c>
      <c r="E14" t="s">
        <v>82</v>
      </c>
      <c r="F14" t="s">
        <v>82</v>
      </c>
      <c r="G14" t="s">
        <v>82</v>
      </c>
      <c r="H14" t="s">
        <v>82</v>
      </c>
      <c r="I14" t="s">
        <v>82</v>
      </c>
    </row>
    <row r="15" spans="1:9" x14ac:dyDescent="0.25">
      <c r="A15" t="s">
        <v>68</v>
      </c>
      <c r="B15" t="s">
        <v>69</v>
      </c>
      <c r="C15" t="s">
        <v>82</v>
      </c>
      <c r="E15" t="s">
        <v>82</v>
      </c>
      <c r="F15" t="s">
        <v>82</v>
      </c>
      <c r="G15" t="s">
        <v>82</v>
      </c>
      <c r="H15" t="s">
        <v>82</v>
      </c>
      <c r="I15" t="s">
        <v>82</v>
      </c>
    </row>
    <row r="16" spans="1:9" x14ac:dyDescent="0.25">
      <c r="A16" t="s">
        <v>70</v>
      </c>
      <c r="B16" t="s">
        <v>71</v>
      </c>
      <c r="C16" t="s">
        <v>82</v>
      </c>
      <c r="E16" t="s">
        <v>82</v>
      </c>
      <c r="F16" t="s">
        <v>82</v>
      </c>
      <c r="G16" t="s">
        <v>82</v>
      </c>
      <c r="H16" t="s">
        <v>82</v>
      </c>
      <c r="I16" t="s">
        <v>82</v>
      </c>
    </row>
    <row r="17" spans="1:9" x14ac:dyDescent="0.25">
      <c r="A17" t="s">
        <v>72</v>
      </c>
      <c r="B17" t="s">
        <v>73</v>
      </c>
      <c r="C17" t="s">
        <v>82</v>
      </c>
      <c r="E17" t="s">
        <v>82</v>
      </c>
      <c r="F17" t="s">
        <v>82</v>
      </c>
      <c r="G17" t="s">
        <v>82</v>
      </c>
      <c r="H17" t="s">
        <v>82</v>
      </c>
      <c r="I17" t="s">
        <v>82</v>
      </c>
    </row>
    <row r="18" spans="1:9" x14ac:dyDescent="0.25">
      <c r="A18" t="s">
        <v>74</v>
      </c>
      <c r="B18" t="s">
        <v>75</v>
      </c>
      <c r="C18" t="s">
        <v>82</v>
      </c>
      <c r="E18" t="s">
        <v>82</v>
      </c>
      <c r="F18" t="s">
        <v>82</v>
      </c>
      <c r="G18" t="s">
        <v>82</v>
      </c>
      <c r="H18" t="s">
        <v>82</v>
      </c>
      <c r="I18" t="s">
        <v>82</v>
      </c>
    </row>
    <row r="19" spans="1:9" x14ac:dyDescent="0.25">
      <c r="A19" t="s">
        <v>76</v>
      </c>
      <c r="B19" t="s">
        <v>77</v>
      </c>
      <c r="C19" t="s">
        <v>82</v>
      </c>
      <c r="E19" t="s">
        <v>82</v>
      </c>
      <c r="F19" t="s">
        <v>82</v>
      </c>
      <c r="G19" t="s">
        <v>82</v>
      </c>
      <c r="H19" t="s">
        <v>82</v>
      </c>
      <c r="I19" t="s">
        <v>82</v>
      </c>
    </row>
    <row r="20" spans="1:9" x14ac:dyDescent="0.25">
      <c r="A20" t="s">
        <v>78</v>
      </c>
      <c r="B20" t="s">
        <v>79</v>
      </c>
      <c r="C20" t="s">
        <v>82</v>
      </c>
      <c r="E20" t="s">
        <v>82</v>
      </c>
      <c r="F20" t="s">
        <v>82</v>
      </c>
      <c r="G20" t="s">
        <v>82</v>
      </c>
      <c r="H20" t="s">
        <v>82</v>
      </c>
      <c r="I20" t="s">
        <v>82</v>
      </c>
    </row>
    <row r="21" spans="1:9" x14ac:dyDescent="0.25">
      <c r="A21" t="s">
        <v>80</v>
      </c>
      <c r="B21" t="s">
        <v>81</v>
      </c>
      <c r="C21" t="s">
        <v>82</v>
      </c>
      <c r="E21" t="s">
        <v>82</v>
      </c>
      <c r="F21" t="s">
        <v>82</v>
      </c>
      <c r="G21" t="s">
        <v>82</v>
      </c>
      <c r="H21" t="s">
        <v>82</v>
      </c>
      <c r="I21" t="s">
        <v>82</v>
      </c>
    </row>
    <row r="22" spans="1:9" x14ac:dyDescent="0.25">
      <c r="A22" t="s">
        <v>83</v>
      </c>
      <c r="B22" t="s">
        <v>84</v>
      </c>
      <c r="C22" t="s">
        <v>82</v>
      </c>
      <c r="E22" t="s">
        <v>82</v>
      </c>
      <c r="F22" t="s">
        <v>82</v>
      </c>
      <c r="G22" t="s">
        <v>82</v>
      </c>
      <c r="H22" t="s">
        <v>82</v>
      </c>
      <c r="I22" t="s">
        <v>82</v>
      </c>
    </row>
    <row r="23" spans="1:9" x14ac:dyDescent="0.25">
      <c r="A23" t="s">
        <v>85</v>
      </c>
      <c r="B23" t="s">
        <v>86</v>
      </c>
      <c r="C23" t="s">
        <v>82</v>
      </c>
      <c r="E23" t="s">
        <v>82</v>
      </c>
      <c r="F23" t="s">
        <v>82</v>
      </c>
      <c r="G23" t="s">
        <v>82</v>
      </c>
      <c r="H23" t="s">
        <v>82</v>
      </c>
      <c r="I23" t="s">
        <v>82</v>
      </c>
    </row>
    <row r="24" spans="1:9" x14ac:dyDescent="0.25">
      <c r="A24" t="s">
        <v>87</v>
      </c>
      <c r="B24" t="s">
        <v>88</v>
      </c>
      <c r="C24" t="s">
        <v>82</v>
      </c>
      <c r="E24" t="s">
        <v>82</v>
      </c>
      <c r="F24" t="s">
        <v>82</v>
      </c>
      <c r="G24" t="s">
        <v>82</v>
      </c>
      <c r="H24" t="s">
        <v>82</v>
      </c>
      <c r="I24" t="s">
        <v>82</v>
      </c>
    </row>
    <row r="25" spans="1:9" x14ac:dyDescent="0.25">
      <c r="A25" t="s">
        <v>89</v>
      </c>
      <c r="B25" t="s">
        <v>90</v>
      </c>
      <c r="C25" t="s">
        <v>82</v>
      </c>
      <c r="E25" t="s">
        <v>82</v>
      </c>
      <c r="F25" t="s">
        <v>82</v>
      </c>
      <c r="G25" t="s">
        <v>82</v>
      </c>
      <c r="H25" t="s">
        <v>82</v>
      </c>
      <c r="I25" t="s">
        <v>82</v>
      </c>
    </row>
    <row r="26" spans="1:9" x14ac:dyDescent="0.25">
      <c r="A26" t="s">
        <v>91</v>
      </c>
      <c r="B26" t="s">
        <v>92</v>
      </c>
      <c r="C26" t="s">
        <v>82</v>
      </c>
      <c r="E26" t="s">
        <v>82</v>
      </c>
      <c r="F26" t="s">
        <v>82</v>
      </c>
      <c r="G26" t="s">
        <v>82</v>
      </c>
      <c r="H26" t="s">
        <v>82</v>
      </c>
      <c r="I26" t="s">
        <v>82</v>
      </c>
    </row>
    <row r="27" spans="1:9" x14ac:dyDescent="0.25">
      <c r="A27" t="s">
        <v>93</v>
      </c>
      <c r="B27" t="s">
        <v>94</v>
      </c>
      <c r="C27" t="s">
        <v>82</v>
      </c>
      <c r="E27" t="s">
        <v>82</v>
      </c>
      <c r="F27" t="s">
        <v>82</v>
      </c>
      <c r="G27" t="s">
        <v>82</v>
      </c>
      <c r="H27" t="s">
        <v>82</v>
      </c>
      <c r="I27" t="s">
        <v>82</v>
      </c>
    </row>
    <row r="28" spans="1:9" x14ac:dyDescent="0.25">
      <c r="A28" t="s">
        <v>95</v>
      </c>
      <c r="B28" t="s">
        <v>96</v>
      </c>
      <c r="C28" t="s">
        <v>82</v>
      </c>
      <c r="E28" t="s">
        <v>82</v>
      </c>
      <c r="F28" t="s">
        <v>82</v>
      </c>
      <c r="G28" t="s">
        <v>82</v>
      </c>
      <c r="H28" t="s">
        <v>82</v>
      </c>
      <c r="I28" t="s">
        <v>82</v>
      </c>
    </row>
    <row r="29" spans="1:9" x14ac:dyDescent="0.25">
      <c r="A29" t="s">
        <v>97</v>
      </c>
      <c r="B29" t="s">
        <v>98</v>
      </c>
      <c r="C29" t="s">
        <v>82</v>
      </c>
      <c r="E29" t="s">
        <v>82</v>
      </c>
      <c r="F29" t="s">
        <v>82</v>
      </c>
      <c r="G29" t="s">
        <v>82</v>
      </c>
      <c r="H29" t="s">
        <v>82</v>
      </c>
      <c r="I29" t="s">
        <v>82</v>
      </c>
    </row>
    <row r="30" spans="1:9" x14ac:dyDescent="0.25">
      <c r="A30" t="s">
        <v>99</v>
      </c>
      <c r="B30" t="s">
        <v>100</v>
      </c>
      <c r="C30" t="s">
        <v>82</v>
      </c>
      <c r="E30" t="s">
        <v>82</v>
      </c>
      <c r="F30" t="s">
        <v>82</v>
      </c>
      <c r="G30" t="s">
        <v>82</v>
      </c>
      <c r="H30" t="s">
        <v>82</v>
      </c>
      <c r="I30" t="s">
        <v>82</v>
      </c>
    </row>
    <row r="31" spans="1:9" x14ac:dyDescent="0.25">
      <c r="A31" t="s">
        <v>101</v>
      </c>
      <c r="B31" t="s">
        <v>102</v>
      </c>
      <c r="C31" t="s">
        <v>82</v>
      </c>
      <c r="E31" t="s">
        <v>82</v>
      </c>
      <c r="F31" t="s">
        <v>82</v>
      </c>
      <c r="G31" t="s">
        <v>82</v>
      </c>
      <c r="H31" t="s">
        <v>82</v>
      </c>
      <c r="I31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5B0DF-1485-4450-BF33-2AC27B406E7A}">
  <sheetPr codeName="Feuil3"/>
  <dimension ref="A1:H150"/>
  <sheetViews>
    <sheetView workbookViewId="0">
      <selection activeCell="E2" sqref="E2"/>
    </sheetView>
  </sheetViews>
  <sheetFormatPr baseColWidth="10" defaultRowHeight="15" x14ac:dyDescent="0.25"/>
  <cols>
    <col min="1" max="1" width="9.42578125" bestFit="1" customWidth="1"/>
    <col min="2" max="2" width="38.7109375" bestFit="1" customWidth="1"/>
    <col min="3" max="3" width="25.7109375" bestFit="1" customWidth="1"/>
    <col min="4" max="4" width="16.140625" bestFit="1" customWidth="1"/>
    <col min="5" max="5" width="16.42578125" bestFit="1" customWidth="1"/>
    <col min="6" max="6" width="8.85546875" bestFit="1" customWidth="1"/>
    <col min="7" max="7" width="14" bestFit="1" customWidth="1"/>
    <col min="8" max="8" width="33" bestFit="1" customWidth="1"/>
  </cols>
  <sheetData>
    <row r="1" spans="1:8" x14ac:dyDescent="0.25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8</v>
      </c>
    </row>
    <row r="2" spans="1:8" x14ac:dyDescent="0.25">
      <c r="A2" t="s">
        <v>110</v>
      </c>
      <c r="B2" t="s">
        <v>111</v>
      </c>
      <c r="C2" t="s">
        <v>112</v>
      </c>
      <c r="D2" s="2">
        <v>200000</v>
      </c>
      <c r="E2" s="2">
        <v>250000</v>
      </c>
      <c r="F2" s="6">
        <v>0.1</v>
      </c>
      <c r="G2" t="s">
        <v>113</v>
      </c>
    </row>
    <row r="3" spans="1:8" x14ac:dyDescent="0.25">
      <c r="A3" t="s">
        <v>114</v>
      </c>
      <c r="B3" t="s">
        <v>115</v>
      </c>
      <c r="C3" t="s">
        <v>112</v>
      </c>
      <c r="D3" s="2">
        <v>250000</v>
      </c>
      <c r="E3" s="2">
        <v>300000</v>
      </c>
      <c r="F3" s="6">
        <v>0.1</v>
      </c>
      <c r="G3" t="s">
        <v>113</v>
      </c>
    </row>
    <row r="4" spans="1:8" x14ac:dyDescent="0.25">
      <c r="A4" t="s">
        <v>116</v>
      </c>
      <c r="B4" t="s">
        <v>117</v>
      </c>
      <c r="C4" t="s">
        <v>118</v>
      </c>
      <c r="D4" s="2">
        <v>0</v>
      </c>
      <c r="E4" s="2">
        <v>0</v>
      </c>
      <c r="F4" s="6"/>
      <c r="G4" t="s">
        <v>113</v>
      </c>
    </row>
    <row r="5" spans="1:8" x14ac:dyDescent="0.25">
      <c r="A5" t="s">
        <v>119</v>
      </c>
      <c r="B5" t="s">
        <v>120</v>
      </c>
      <c r="C5" t="s">
        <v>121</v>
      </c>
      <c r="D5" s="2">
        <v>0</v>
      </c>
      <c r="E5" s="2">
        <v>0</v>
      </c>
      <c r="F5" s="6"/>
      <c r="G5" t="s">
        <v>113</v>
      </c>
    </row>
    <row r="6" spans="1:8" x14ac:dyDescent="0.25">
      <c r="A6" t="s">
        <v>122</v>
      </c>
      <c r="B6" t="s">
        <v>123</v>
      </c>
      <c r="C6" t="s">
        <v>124</v>
      </c>
      <c r="D6" s="2">
        <v>0</v>
      </c>
      <c r="E6" s="2">
        <v>0</v>
      </c>
      <c r="F6" s="6"/>
      <c r="G6" t="s">
        <v>113</v>
      </c>
    </row>
    <row r="7" spans="1:8" x14ac:dyDescent="0.25">
      <c r="A7" t="s">
        <v>125</v>
      </c>
      <c r="B7" t="s">
        <v>126</v>
      </c>
      <c r="C7" t="s">
        <v>127</v>
      </c>
      <c r="D7" s="2">
        <v>0</v>
      </c>
      <c r="E7" s="2">
        <v>0</v>
      </c>
      <c r="F7" s="6"/>
      <c r="G7" t="s">
        <v>113</v>
      </c>
    </row>
    <row r="8" spans="1:8" x14ac:dyDescent="0.25">
      <c r="A8" t="s">
        <v>128</v>
      </c>
      <c r="B8" t="s">
        <v>129</v>
      </c>
      <c r="C8" t="s">
        <v>124</v>
      </c>
      <c r="D8" s="2">
        <v>0</v>
      </c>
      <c r="E8" s="2">
        <v>0</v>
      </c>
      <c r="F8" s="6"/>
      <c r="G8" t="s">
        <v>113</v>
      </c>
    </row>
    <row r="9" spans="1:8" x14ac:dyDescent="0.25">
      <c r="A9" t="s">
        <v>130</v>
      </c>
      <c r="B9" t="s">
        <v>131</v>
      </c>
      <c r="C9" t="s">
        <v>132</v>
      </c>
      <c r="D9" s="2">
        <v>0</v>
      </c>
      <c r="E9" s="2">
        <v>0</v>
      </c>
      <c r="F9" s="6"/>
      <c r="G9" t="s">
        <v>113</v>
      </c>
    </row>
    <row r="10" spans="1:8" x14ac:dyDescent="0.25">
      <c r="A10" t="s">
        <v>133</v>
      </c>
      <c r="B10" t="s">
        <v>134</v>
      </c>
      <c r="C10" t="s">
        <v>132</v>
      </c>
      <c r="D10" s="2">
        <v>0</v>
      </c>
      <c r="E10" s="2">
        <v>0</v>
      </c>
      <c r="F10" s="6"/>
      <c r="G10" t="s">
        <v>113</v>
      </c>
    </row>
    <row r="11" spans="1:8" x14ac:dyDescent="0.25">
      <c r="A11" t="s">
        <v>135</v>
      </c>
      <c r="B11" t="s">
        <v>136</v>
      </c>
      <c r="C11" t="s">
        <v>132</v>
      </c>
      <c r="D11" s="2">
        <v>0</v>
      </c>
      <c r="E11" s="2">
        <v>0</v>
      </c>
      <c r="F11" s="6"/>
      <c r="G11" t="s">
        <v>113</v>
      </c>
    </row>
    <row r="12" spans="1:8" x14ac:dyDescent="0.25">
      <c r="A12" t="s">
        <v>137</v>
      </c>
      <c r="B12" t="s">
        <v>138</v>
      </c>
      <c r="C12" t="s">
        <v>118</v>
      </c>
      <c r="D12" s="2">
        <v>0</v>
      </c>
      <c r="E12" s="2">
        <v>0</v>
      </c>
      <c r="F12" s="6"/>
      <c r="G12" t="s">
        <v>113</v>
      </c>
    </row>
    <row r="13" spans="1:8" x14ac:dyDescent="0.25">
      <c r="D13" s="2"/>
      <c r="E13" s="2"/>
      <c r="F13" s="6"/>
    </row>
    <row r="14" spans="1:8" x14ac:dyDescent="0.25">
      <c r="D14" s="2"/>
      <c r="E14" s="2"/>
      <c r="F14" s="6"/>
    </row>
    <row r="15" spans="1:8" x14ac:dyDescent="0.25">
      <c r="D15" s="2"/>
      <c r="E15" s="2"/>
      <c r="F15" s="6"/>
    </row>
    <row r="16" spans="1:8" x14ac:dyDescent="0.25">
      <c r="D16" s="2"/>
      <c r="E16" s="2"/>
      <c r="F16" s="6"/>
    </row>
    <row r="17" spans="4:6" x14ac:dyDescent="0.25">
      <c r="D17" s="2"/>
      <c r="E17" s="2"/>
      <c r="F17" s="6"/>
    </row>
    <row r="18" spans="4:6" x14ac:dyDescent="0.25">
      <c r="D18" s="2"/>
      <c r="E18" s="2"/>
      <c r="F18" s="6"/>
    </row>
    <row r="19" spans="4:6" x14ac:dyDescent="0.25">
      <c r="D19" s="2"/>
      <c r="E19" s="2"/>
      <c r="F19" s="6"/>
    </row>
    <row r="20" spans="4:6" x14ac:dyDescent="0.25">
      <c r="D20" s="2"/>
      <c r="E20" s="2"/>
      <c r="F20" s="6"/>
    </row>
    <row r="21" spans="4:6" x14ac:dyDescent="0.25">
      <c r="D21" s="2"/>
      <c r="E21" s="2"/>
      <c r="F21" s="6"/>
    </row>
    <row r="22" spans="4:6" x14ac:dyDescent="0.25">
      <c r="D22" s="2"/>
      <c r="E22" s="2"/>
      <c r="F22" s="6"/>
    </row>
    <row r="23" spans="4:6" x14ac:dyDescent="0.25">
      <c r="D23" s="2"/>
      <c r="E23" s="2"/>
      <c r="F23" s="6"/>
    </row>
    <row r="24" spans="4:6" x14ac:dyDescent="0.25">
      <c r="D24" s="2"/>
      <c r="E24" s="2"/>
      <c r="F24" s="6"/>
    </row>
    <row r="25" spans="4:6" x14ac:dyDescent="0.25">
      <c r="D25" s="2"/>
      <c r="E25" s="2"/>
      <c r="F25" s="6"/>
    </row>
    <row r="26" spans="4:6" x14ac:dyDescent="0.25">
      <c r="D26" s="2"/>
      <c r="E26" s="2"/>
      <c r="F26" s="6"/>
    </row>
    <row r="27" spans="4:6" x14ac:dyDescent="0.25">
      <c r="D27" s="2"/>
      <c r="E27" s="2"/>
      <c r="F27" s="6"/>
    </row>
    <row r="28" spans="4:6" x14ac:dyDescent="0.25">
      <c r="D28" s="2"/>
      <c r="E28" s="2"/>
      <c r="F28" s="6"/>
    </row>
    <row r="29" spans="4:6" x14ac:dyDescent="0.25">
      <c r="D29" s="2"/>
      <c r="E29" s="2"/>
      <c r="F29" s="6"/>
    </row>
    <row r="30" spans="4:6" x14ac:dyDescent="0.25">
      <c r="D30" s="2"/>
      <c r="E30" s="2"/>
      <c r="F30" s="6"/>
    </row>
    <row r="31" spans="4:6" x14ac:dyDescent="0.25">
      <c r="D31" s="2"/>
      <c r="E31" s="2"/>
      <c r="F31" s="6"/>
    </row>
    <row r="32" spans="4:6" x14ac:dyDescent="0.25">
      <c r="D32" s="2"/>
      <c r="E32" s="2"/>
      <c r="F32" s="6"/>
    </row>
    <row r="33" spans="4:6" x14ac:dyDescent="0.25">
      <c r="D33" s="2"/>
      <c r="E33" s="2"/>
      <c r="F33" s="6"/>
    </row>
    <row r="34" spans="4:6" x14ac:dyDescent="0.25">
      <c r="D34" s="2"/>
      <c r="E34" s="2"/>
      <c r="F34" s="6"/>
    </row>
    <row r="35" spans="4:6" x14ac:dyDescent="0.25">
      <c r="D35" s="2"/>
      <c r="E35" s="2"/>
      <c r="F35" s="6"/>
    </row>
    <row r="36" spans="4:6" x14ac:dyDescent="0.25">
      <c r="D36" s="2"/>
      <c r="E36" s="2"/>
      <c r="F36" s="6"/>
    </row>
    <row r="37" spans="4:6" x14ac:dyDescent="0.25">
      <c r="D37" s="2"/>
      <c r="E37" s="2"/>
      <c r="F37" s="6"/>
    </row>
    <row r="38" spans="4:6" x14ac:dyDescent="0.25">
      <c r="D38" s="2"/>
      <c r="E38" s="2"/>
      <c r="F38" s="6"/>
    </row>
    <row r="39" spans="4:6" x14ac:dyDescent="0.25">
      <c r="D39" s="2"/>
      <c r="E39" s="2"/>
      <c r="F39" s="6"/>
    </row>
    <row r="40" spans="4:6" x14ac:dyDescent="0.25">
      <c r="D40" s="2"/>
      <c r="E40" s="2"/>
      <c r="F40" s="6"/>
    </row>
    <row r="41" spans="4:6" x14ac:dyDescent="0.25">
      <c r="D41" s="2"/>
      <c r="E41" s="2"/>
      <c r="F41" s="6"/>
    </row>
    <row r="42" spans="4:6" x14ac:dyDescent="0.25">
      <c r="D42" s="2"/>
      <c r="E42" s="2"/>
      <c r="F42" s="6"/>
    </row>
    <row r="43" spans="4:6" x14ac:dyDescent="0.25">
      <c r="D43" s="2"/>
      <c r="E43" s="2"/>
      <c r="F43" s="6"/>
    </row>
    <row r="44" spans="4:6" x14ac:dyDescent="0.25">
      <c r="D44" s="2"/>
      <c r="E44" s="2"/>
      <c r="F44" s="6"/>
    </row>
    <row r="45" spans="4:6" x14ac:dyDescent="0.25">
      <c r="D45" s="2"/>
      <c r="E45" s="2"/>
      <c r="F45" s="6"/>
    </row>
    <row r="46" spans="4:6" x14ac:dyDescent="0.25">
      <c r="D46" s="2"/>
      <c r="E46" s="2"/>
      <c r="F46" s="6"/>
    </row>
    <row r="47" spans="4:6" x14ac:dyDescent="0.25">
      <c r="D47" s="2"/>
      <c r="E47" s="2"/>
      <c r="F47" s="6"/>
    </row>
    <row r="48" spans="4:6" x14ac:dyDescent="0.25">
      <c r="D48" s="2"/>
      <c r="E48" s="2"/>
      <c r="F48" s="6"/>
    </row>
    <row r="49" spans="4:6" x14ac:dyDescent="0.25">
      <c r="D49" s="2"/>
      <c r="E49" s="2"/>
      <c r="F49" s="6"/>
    </row>
    <row r="50" spans="4:6" x14ac:dyDescent="0.25">
      <c r="D50" s="2"/>
      <c r="E50" s="2"/>
      <c r="F50" s="6"/>
    </row>
    <row r="51" spans="4:6" x14ac:dyDescent="0.25">
      <c r="D51" s="2"/>
      <c r="E51" s="2"/>
      <c r="F51" s="6"/>
    </row>
    <row r="52" spans="4:6" x14ac:dyDescent="0.25">
      <c r="D52" s="2"/>
      <c r="E52" s="2"/>
      <c r="F52" s="6"/>
    </row>
    <row r="53" spans="4:6" x14ac:dyDescent="0.25">
      <c r="D53" s="2"/>
      <c r="E53" s="2"/>
      <c r="F53" s="6"/>
    </row>
    <row r="54" spans="4:6" x14ac:dyDescent="0.25">
      <c r="D54" s="2"/>
      <c r="E54" s="2"/>
      <c r="F54" s="6"/>
    </row>
    <row r="55" spans="4:6" x14ac:dyDescent="0.25">
      <c r="D55" s="2"/>
      <c r="E55" s="2"/>
      <c r="F55" s="6"/>
    </row>
    <row r="56" spans="4:6" x14ac:dyDescent="0.25">
      <c r="D56" s="2"/>
      <c r="E56" s="2"/>
      <c r="F56" s="6"/>
    </row>
    <row r="57" spans="4:6" x14ac:dyDescent="0.25">
      <c r="D57" s="2"/>
      <c r="E57" s="2"/>
      <c r="F57" s="6"/>
    </row>
    <row r="58" spans="4:6" x14ac:dyDescent="0.25">
      <c r="D58" s="2"/>
      <c r="E58" s="2"/>
      <c r="F58" s="6"/>
    </row>
    <row r="59" spans="4:6" x14ac:dyDescent="0.25">
      <c r="D59" s="2"/>
      <c r="E59" s="2"/>
      <c r="F59" s="6"/>
    </row>
    <row r="60" spans="4:6" x14ac:dyDescent="0.25">
      <c r="D60" s="2"/>
      <c r="E60" s="2"/>
      <c r="F60" s="6"/>
    </row>
    <row r="61" spans="4:6" x14ac:dyDescent="0.25">
      <c r="D61" s="2"/>
      <c r="E61" s="2"/>
      <c r="F61" s="6"/>
    </row>
    <row r="62" spans="4:6" x14ac:dyDescent="0.25">
      <c r="D62" s="2"/>
      <c r="E62" s="2"/>
      <c r="F62" s="6"/>
    </row>
    <row r="63" spans="4:6" x14ac:dyDescent="0.25">
      <c r="D63" s="2"/>
      <c r="E63" s="2"/>
      <c r="F63" s="6"/>
    </row>
    <row r="64" spans="4:6" x14ac:dyDescent="0.25">
      <c r="D64" s="2"/>
      <c r="E64" s="2"/>
      <c r="F64" s="6"/>
    </row>
    <row r="65" spans="4:6" x14ac:dyDescent="0.25">
      <c r="D65" s="2"/>
      <c r="E65" s="2"/>
      <c r="F65" s="6"/>
    </row>
    <row r="66" spans="4:6" x14ac:dyDescent="0.25">
      <c r="D66" s="2"/>
      <c r="E66" s="2"/>
      <c r="F66" s="6"/>
    </row>
    <row r="67" spans="4:6" x14ac:dyDescent="0.25">
      <c r="D67" s="2"/>
      <c r="E67" s="2"/>
      <c r="F67" s="6"/>
    </row>
    <row r="68" spans="4:6" x14ac:dyDescent="0.25">
      <c r="D68" s="2"/>
      <c r="E68" s="2"/>
      <c r="F68" s="6"/>
    </row>
    <row r="69" spans="4:6" x14ac:dyDescent="0.25">
      <c r="D69" s="2"/>
      <c r="E69" s="2"/>
      <c r="F69" s="6"/>
    </row>
    <row r="70" spans="4:6" x14ac:dyDescent="0.25">
      <c r="D70" s="2"/>
      <c r="E70" s="2"/>
      <c r="F70" s="6"/>
    </row>
    <row r="71" spans="4:6" x14ac:dyDescent="0.25">
      <c r="D71" s="2"/>
      <c r="E71" s="2"/>
      <c r="F71" s="6"/>
    </row>
    <row r="72" spans="4:6" x14ac:dyDescent="0.25">
      <c r="D72" s="2"/>
      <c r="E72" s="2"/>
      <c r="F72" s="6"/>
    </row>
    <row r="73" spans="4:6" x14ac:dyDescent="0.25">
      <c r="D73" s="2"/>
      <c r="E73" s="2"/>
      <c r="F73" s="6"/>
    </row>
    <row r="74" spans="4:6" x14ac:dyDescent="0.25">
      <c r="D74" s="2"/>
      <c r="E74" s="2"/>
      <c r="F74" s="6"/>
    </row>
    <row r="75" spans="4:6" x14ac:dyDescent="0.25">
      <c r="D75" s="2"/>
      <c r="E75" s="2"/>
      <c r="F75" s="6"/>
    </row>
    <row r="76" spans="4:6" x14ac:dyDescent="0.25">
      <c r="D76" s="2"/>
      <c r="E76" s="2"/>
      <c r="F76" s="6"/>
    </row>
    <row r="77" spans="4:6" x14ac:dyDescent="0.25">
      <c r="D77" s="2"/>
      <c r="E77" s="2"/>
      <c r="F77" s="6"/>
    </row>
    <row r="78" spans="4:6" x14ac:dyDescent="0.25">
      <c r="D78" s="2"/>
      <c r="E78" s="2"/>
      <c r="F78" s="6"/>
    </row>
    <row r="79" spans="4:6" x14ac:dyDescent="0.25">
      <c r="D79" s="2"/>
      <c r="E79" s="2"/>
      <c r="F79" s="6"/>
    </row>
    <row r="80" spans="4:6" x14ac:dyDescent="0.25">
      <c r="D80" s="2"/>
      <c r="E80" s="2"/>
      <c r="F80" s="6"/>
    </row>
    <row r="81" spans="4:6" x14ac:dyDescent="0.25">
      <c r="D81" s="2"/>
      <c r="E81" s="2"/>
      <c r="F81" s="6"/>
    </row>
    <row r="82" spans="4:6" x14ac:dyDescent="0.25">
      <c r="D82" s="2"/>
      <c r="E82" s="2"/>
      <c r="F82" s="6"/>
    </row>
    <row r="83" spans="4:6" x14ac:dyDescent="0.25">
      <c r="D83" s="2"/>
      <c r="E83" s="2"/>
      <c r="F83" s="6"/>
    </row>
    <row r="84" spans="4:6" x14ac:dyDescent="0.25">
      <c r="D84" s="2"/>
      <c r="E84" s="2"/>
      <c r="F84" s="6"/>
    </row>
    <row r="85" spans="4:6" x14ac:dyDescent="0.25">
      <c r="D85" s="2"/>
      <c r="E85" s="2"/>
      <c r="F85" s="6"/>
    </row>
    <row r="86" spans="4:6" x14ac:dyDescent="0.25">
      <c r="D86" s="2"/>
      <c r="E86" s="2"/>
      <c r="F86" s="6"/>
    </row>
    <row r="87" spans="4:6" x14ac:dyDescent="0.25">
      <c r="D87" s="2"/>
      <c r="E87" s="2"/>
      <c r="F87" s="6"/>
    </row>
    <row r="88" spans="4:6" x14ac:dyDescent="0.25">
      <c r="D88" s="2"/>
      <c r="E88" s="2"/>
      <c r="F88" s="6"/>
    </row>
    <row r="89" spans="4:6" x14ac:dyDescent="0.25">
      <c r="D89" s="2"/>
      <c r="E89" s="2"/>
      <c r="F89" s="6"/>
    </row>
    <row r="90" spans="4:6" x14ac:dyDescent="0.25">
      <c r="D90" s="2"/>
      <c r="E90" s="2"/>
      <c r="F90" s="6"/>
    </row>
    <row r="91" spans="4:6" x14ac:dyDescent="0.25">
      <c r="D91" s="2"/>
      <c r="E91" s="2"/>
      <c r="F91" s="6"/>
    </row>
    <row r="92" spans="4:6" x14ac:dyDescent="0.25">
      <c r="D92" s="2"/>
      <c r="E92" s="2"/>
      <c r="F92" s="6"/>
    </row>
    <row r="93" spans="4:6" x14ac:dyDescent="0.25">
      <c r="D93" s="2"/>
      <c r="E93" s="2"/>
      <c r="F93" s="6"/>
    </row>
    <row r="94" spans="4:6" x14ac:dyDescent="0.25">
      <c r="D94" s="2"/>
      <c r="E94" s="2"/>
      <c r="F94" s="6"/>
    </row>
    <row r="95" spans="4:6" x14ac:dyDescent="0.25">
      <c r="D95" s="2"/>
      <c r="E95" s="2"/>
      <c r="F95" s="6"/>
    </row>
    <row r="96" spans="4:6" x14ac:dyDescent="0.25">
      <c r="D96" s="2"/>
      <c r="E96" s="2"/>
      <c r="F96" s="6"/>
    </row>
    <row r="97" spans="4:6" x14ac:dyDescent="0.25">
      <c r="D97" s="2"/>
      <c r="E97" s="2"/>
      <c r="F97" s="6"/>
    </row>
    <row r="98" spans="4:6" x14ac:dyDescent="0.25">
      <c r="D98" s="2"/>
      <c r="E98" s="2"/>
      <c r="F98" s="6"/>
    </row>
    <row r="99" spans="4:6" x14ac:dyDescent="0.25">
      <c r="D99" s="2"/>
      <c r="E99" s="2"/>
      <c r="F99" s="6"/>
    </row>
    <row r="100" spans="4:6" x14ac:dyDescent="0.25">
      <c r="D100" s="2"/>
      <c r="E100" s="2"/>
      <c r="F100" s="6"/>
    </row>
    <row r="101" spans="4:6" x14ac:dyDescent="0.25">
      <c r="D101" s="2"/>
      <c r="E101" s="2"/>
      <c r="F101" s="6"/>
    </row>
    <row r="102" spans="4:6" x14ac:dyDescent="0.25">
      <c r="D102" s="2"/>
      <c r="E102" s="2"/>
      <c r="F102" s="6"/>
    </row>
    <row r="103" spans="4:6" x14ac:dyDescent="0.25">
      <c r="D103" s="2"/>
      <c r="E103" s="2"/>
      <c r="F103" s="6"/>
    </row>
    <row r="104" spans="4:6" x14ac:dyDescent="0.25">
      <c r="D104" s="2"/>
      <c r="E104" s="2"/>
      <c r="F104" s="6"/>
    </row>
    <row r="105" spans="4:6" x14ac:dyDescent="0.25">
      <c r="D105" s="2"/>
      <c r="E105" s="2"/>
      <c r="F105" s="6"/>
    </row>
    <row r="106" spans="4:6" x14ac:dyDescent="0.25">
      <c r="D106" s="2"/>
      <c r="E106" s="2"/>
      <c r="F106" s="6"/>
    </row>
    <row r="107" spans="4:6" x14ac:dyDescent="0.25">
      <c r="D107" s="2"/>
      <c r="E107" s="2"/>
      <c r="F107" s="6"/>
    </row>
    <row r="108" spans="4:6" x14ac:dyDescent="0.25">
      <c r="D108" s="2"/>
      <c r="E108" s="2"/>
      <c r="F108" s="6"/>
    </row>
    <row r="109" spans="4:6" x14ac:dyDescent="0.25">
      <c r="D109" s="2"/>
      <c r="E109" s="2"/>
      <c r="F109" s="6"/>
    </row>
    <row r="110" spans="4:6" x14ac:dyDescent="0.25">
      <c r="D110" s="2"/>
      <c r="E110" s="2"/>
      <c r="F110" s="6"/>
    </row>
    <row r="111" spans="4:6" x14ac:dyDescent="0.25">
      <c r="D111" s="2"/>
      <c r="E111" s="2"/>
      <c r="F111" s="6"/>
    </row>
    <row r="112" spans="4:6" x14ac:dyDescent="0.25">
      <c r="D112" s="2"/>
      <c r="E112" s="2"/>
      <c r="F112" s="6"/>
    </row>
    <row r="113" spans="4:6" x14ac:dyDescent="0.25">
      <c r="D113" s="2"/>
      <c r="E113" s="2"/>
      <c r="F113" s="6"/>
    </row>
    <row r="114" spans="4:6" x14ac:dyDescent="0.25">
      <c r="D114" s="2"/>
      <c r="E114" s="2"/>
      <c r="F114" s="6"/>
    </row>
    <row r="115" spans="4:6" x14ac:dyDescent="0.25">
      <c r="D115" s="2"/>
      <c r="E115" s="2"/>
      <c r="F115" s="6"/>
    </row>
    <row r="116" spans="4:6" x14ac:dyDescent="0.25">
      <c r="D116" s="2"/>
      <c r="E116" s="2"/>
      <c r="F116" s="6"/>
    </row>
    <row r="117" spans="4:6" x14ac:dyDescent="0.25">
      <c r="D117" s="2"/>
      <c r="E117" s="2"/>
      <c r="F117" s="6"/>
    </row>
    <row r="118" spans="4:6" x14ac:dyDescent="0.25">
      <c r="D118" s="2"/>
      <c r="E118" s="2"/>
      <c r="F118" s="6"/>
    </row>
    <row r="119" spans="4:6" x14ac:dyDescent="0.25">
      <c r="D119" s="2"/>
      <c r="E119" s="2"/>
      <c r="F119" s="6"/>
    </row>
    <row r="120" spans="4:6" x14ac:dyDescent="0.25">
      <c r="D120" s="2"/>
      <c r="E120" s="2"/>
      <c r="F120" s="6"/>
    </row>
    <row r="121" spans="4:6" x14ac:dyDescent="0.25">
      <c r="D121" s="2"/>
      <c r="E121" s="2"/>
      <c r="F121" s="6"/>
    </row>
    <row r="122" spans="4:6" x14ac:dyDescent="0.25">
      <c r="D122" s="2"/>
      <c r="E122" s="2"/>
      <c r="F122" s="6"/>
    </row>
    <row r="123" spans="4:6" x14ac:dyDescent="0.25">
      <c r="D123" s="2"/>
      <c r="E123" s="2"/>
      <c r="F123" s="6"/>
    </row>
    <row r="124" spans="4:6" x14ac:dyDescent="0.25">
      <c r="D124" s="2"/>
      <c r="E124" s="2"/>
      <c r="F124" s="6"/>
    </row>
    <row r="125" spans="4:6" x14ac:dyDescent="0.25">
      <c r="D125" s="2"/>
      <c r="E125" s="2"/>
      <c r="F125" s="6"/>
    </row>
    <row r="126" spans="4:6" x14ac:dyDescent="0.25">
      <c r="D126" s="2"/>
      <c r="E126" s="2"/>
      <c r="F126" s="6"/>
    </row>
    <row r="127" spans="4:6" x14ac:dyDescent="0.25">
      <c r="D127" s="2"/>
      <c r="E127" s="2"/>
      <c r="F127" s="6"/>
    </row>
    <row r="128" spans="4:6" x14ac:dyDescent="0.25">
      <c r="D128" s="2"/>
      <c r="E128" s="2"/>
      <c r="F128" s="6"/>
    </row>
    <row r="129" spans="4:6" x14ac:dyDescent="0.25">
      <c r="D129" s="2"/>
      <c r="E129" s="2"/>
      <c r="F129" s="6"/>
    </row>
    <row r="130" spans="4:6" x14ac:dyDescent="0.25">
      <c r="D130" s="2"/>
      <c r="E130" s="2"/>
      <c r="F130" s="6"/>
    </row>
    <row r="131" spans="4:6" x14ac:dyDescent="0.25">
      <c r="D131" s="2"/>
      <c r="E131" s="2"/>
      <c r="F131" s="6"/>
    </row>
    <row r="132" spans="4:6" x14ac:dyDescent="0.25">
      <c r="D132" s="2"/>
      <c r="E132" s="2"/>
      <c r="F132" s="6"/>
    </row>
    <row r="133" spans="4:6" x14ac:dyDescent="0.25">
      <c r="D133" s="2"/>
      <c r="E133" s="2"/>
      <c r="F133" s="6"/>
    </row>
    <row r="134" spans="4:6" x14ac:dyDescent="0.25">
      <c r="D134" s="2"/>
      <c r="E134" s="2"/>
      <c r="F134" s="6"/>
    </row>
    <row r="135" spans="4:6" x14ac:dyDescent="0.25">
      <c r="D135" s="2"/>
      <c r="E135" s="2"/>
      <c r="F135" s="6"/>
    </row>
    <row r="136" spans="4:6" x14ac:dyDescent="0.25">
      <c r="D136" s="2"/>
      <c r="E136" s="2"/>
      <c r="F136" s="6"/>
    </row>
    <row r="137" spans="4:6" x14ac:dyDescent="0.25">
      <c r="D137" s="2"/>
      <c r="E137" s="2"/>
      <c r="F137" s="6"/>
    </row>
    <row r="138" spans="4:6" x14ac:dyDescent="0.25">
      <c r="D138" s="2"/>
      <c r="E138" s="2"/>
      <c r="F138" s="6"/>
    </row>
    <row r="139" spans="4:6" x14ac:dyDescent="0.25">
      <c r="D139" s="2"/>
      <c r="E139" s="2"/>
      <c r="F139" s="6"/>
    </row>
    <row r="140" spans="4:6" x14ac:dyDescent="0.25">
      <c r="D140" s="2"/>
      <c r="E140" s="2"/>
      <c r="F140" s="6"/>
    </row>
    <row r="141" spans="4:6" x14ac:dyDescent="0.25">
      <c r="D141" s="2"/>
      <c r="E141" s="2"/>
      <c r="F141" s="6"/>
    </row>
    <row r="142" spans="4:6" x14ac:dyDescent="0.25">
      <c r="D142" s="2"/>
      <c r="E142" s="2"/>
      <c r="F142" s="6"/>
    </row>
    <row r="143" spans="4:6" x14ac:dyDescent="0.25">
      <c r="D143" s="2"/>
      <c r="E143" s="2"/>
      <c r="F143" s="6"/>
    </row>
    <row r="144" spans="4:6" x14ac:dyDescent="0.25">
      <c r="D144" s="2"/>
      <c r="E144" s="2"/>
      <c r="F144" s="6"/>
    </row>
    <row r="145" spans="4:6" x14ac:dyDescent="0.25">
      <c r="D145" s="2"/>
      <c r="E145" s="2"/>
      <c r="F145" s="6"/>
    </row>
    <row r="146" spans="4:6" x14ac:dyDescent="0.25">
      <c r="D146" s="2"/>
      <c r="E146" s="2"/>
      <c r="F146" s="6"/>
    </row>
    <row r="147" spans="4:6" x14ac:dyDescent="0.25">
      <c r="D147" s="2"/>
      <c r="E147" s="2"/>
      <c r="F147" s="6"/>
    </row>
    <row r="148" spans="4:6" x14ac:dyDescent="0.25">
      <c r="D148" s="2"/>
      <c r="E148" s="2"/>
      <c r="F148" s="6"/>
    </row>
    <row r="149" spans="4:6" x14ac:dyDescent="0.25">
      <c r="D149" s="2"/>
      <c r="E149" s="2"/>
      <c r="F149" s="6"/>
    </row>
    <row r="150" spans="4:6" x14ac:dyDescent="0.25">
      <c r="D150" s="2"/>
      <c r="E150" s="2"/>
      <c r="F150" s="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00B65-B3E3-4685-833B-F5A4FB306613}">
  <sheetPr codeName="Feuil4"/>
  <dimension ref="A1:H18"/>
  <sheetViews>
    <sheetView showGridLines="0" workbookViewId="0">
      <selection activeCell="B2" sqref="B2"/>
    </sheetView>
  </sheetViews>
  <sheetFormatPr baseColWidth="10" defaultRowHeight="15" x14ac:dyDescent="0.25"/>
  <cols>
    <col min="3" max="3" width="22.5703125" customWidth="1"/>
    <col min="4" max="4" width="37.28515625" bestFit="1" customWidth="1"/>
    <col min="5" max="5" width="39" bestFit="1" customWidth="1"/>
    <col min="6" max="6" width="38.85546875" bestFit="1" customWidth="1"/>
    <col min="7" max="7" width="38.85546875" customWidth="1"/>
    <col min="8" max="8" width="28.42578125" customWidth="1"/>
  </cols>
  <sheetData>
    <row r="1" spans="1:8" x14ac:dyDescent="0.25">
      <c r="A1" s="7" t="s">
        <v>292</v>
      </c>
      <c r="B1" s="7" t="s">
        <v>293</v>
      </c>
      <c r="C1" s="28" t="s">
        <v>262</v>
      </c>
      <c r="D1" s="28" t="s">
        <v>142</v>
      </c>
      <c r="E1" s="28" t="s">
        <v>143</v>
      </c>
      <c r="F1" s="28" t="s">
        <v>144</v>
      </c>
      <c r="G1" s="28" t="s">
        <v>287</v>
      </c>
      <c r="H1" s="28" t="s">
        <v>276</v>
      </c>
    </row>
    <row r="2" spans="1:8" ht="16.5" x14ac:dyDescent="0.25">
      <c r="A2" s="7">
        <v>4</v>
      </c>
      <c r="B2" s="7">
        <v>5</v>
      </c>
      <c r="C2" s="8" t="s">
        <v>263</v>
      </c>
      <c r="D2" s="7" t="s">
        <v>145</v>
      </c>
      <c r="E2" s="7" t="s">
        <v>146</v>
      </c>
      <c r="F2" s="7" t="s">
        <v>147</v>
      </c>
      <c r="G2" s="9" t="s">
        <v>288</v>
      </c>
      <c r="H2" s="9" t="s">
        <v>277</v>
      </c>
    </row>
    <row r="3" spans="1:8" ht="16.5" x14ac:dyDescent="0.25">
      <c r="A3" s="7"/>
      <c r="B3" s="7"/>
      <c r="C3" s="8" t="s">
        <v>274</v>
      </c>
      <c r="D3" s="7" t="s">
        <v>148</v>
      </c>
      <c r="E3" s="7" t="s">
        <v>149</v>
      </c>
      <c r="F3" s="7" t="s">
        <v>150</v>
      </c>
      <c r="G3" s="9" t="s">
        <v>291</v>
      </c>
      <c r="H3" s="9" t="s">
        <v>278</v>
      </c>
    </row>
    <row r="4" spans="1:8" ht="16.5" x14ac:dyDescent="0.25">
      <c r="A4" s="7"/>
      <c r="B4" s="7"/>
      <c r="C4" s="8" t="s">
        <v>275</v>
      </c>
      <c r="D4" s="7" t="s">
        <v>151</v>
      </c>
      <c r="E4" s="7" t="s">
        <v>152</v>
      </c>
      <c r="F4" s="7" t="s">
        <v>82</v>
      </c>
      <c r="G4" s="9" t="s">
        <v>290</v>
      </c>
      <c r="H4" s="9" t="s">
        <v>279</v>
      </c>
    </row>
    <row r="5" spans="1:8" ht="24" x14ac:dyDescent="0.25">
      <c r="A5" s="7"/>
      <c r="B5" s="7"/>
      <c r="C5" s="8" t="s">
        <v>264</v>
      </c>
      <c r="D5" s="7" t="s">
        <v>153</v>
      </c>
      <c r="E5" s="7" t="s">
        <v>154</v>
      </c>
      <c r="F5" s="7" t="s">
        <v>155</v>
      </c>
      <c r="G5" s="9" t="s">
        <v>289</v>
      </c>
      <c r="H5" s="9" t="s">
        <v>281</v>
      </c>
    </row>
    <row r="6" spans="1:8" ht="16.5" x14ac:dyDescent="0.25">
      <c r="A6" s="7"/>
      <c r="B6" s="7"/>
      <c r="C6" s="8" t="s">
        <v>175</v>
      </c>
      <c r="D6" s="7" t="s">
        <v>156</v>
      </c>
      <c r="E6" s="7" t="s">
        <v>157</v>
      </c>
      <c r="F6" s="7" t="s">
        <v>158</v>
      </c>
      <c r="G6" s="7"/>
      <c r="H6" s="9" t="s">
        <v>280</v>
      </c>
    </row>
    <row r="7" spans="1:8" ht="16.5" x14ac:dyDescent="0.25">
      <c r="A7" s="7"/>
      <c r="B7" s="7"/>
      <c r="C7" s="8" t="s">
        <v>173</v>
      </c>
      <c r="D7" s="7" t="s">
        <v>159</v>
      </c>
      <c r="E7" s="7" t="s">
        <v>160</v>
      </c>
      <c r="F7" s="7" t="s">
        <v>161</v>
      </c>
      <c r="G7" s="7"/>
      <c r="H7" s="7"/>
    </row>
    <row r="8" spans="1:8" ht="16.5" x14ac:dyDescent="0.25">
      <c r="A8" s="7"/>
      <c r="B8" s="7"/>
      <c r="C8" s="8" t="s">
        <v>245</v>
      </c>
      <c r="D8" s="7" t="s">
        <v>162</v>
      </c>
      <c r="E8" s="7" t="s">
        <v>163</v>
      </c>
      <c r="F8" s="7" t="s">
        <v>164</v>
      </c>
      <c r="G8" s="7"/>
      <c r="H8" s="7"/>
    </row>
    <row r="9" spans="1:8" ht="16.5" x14ac:dyDescent="0.25">
      <c r="A9" s="7"/>
      <c r="B9" s="7"/>
      <c r="C9" s="8" t="s">
        <v>246</v>
      </c>
      <c r="D9" s="7" t="s">
        <v>165</v>
      </c>
      <c r="E9" s="7" t="s">
        <v>166</v>
      </c>
      <c r="F9" s="7" t="s">
        <v>167</v>
      </c>
      <c r="G9" s="7"/>
      <c r="H9" s="7"/>
    </row>
    <row r="10" spans="1:8" x14ac:dyDescent="0.25">
      <c r="A10" s="7"/>
      <c r="B10" s="7"/>
      <c r="C10" s="7"/>
      <c r="D10" s="7" t="s">
        <v>168</v>
      </c>
      <c r="E10" s="7" t="s">
        <v>169</v>
      </c>
      <c r="F10" s="7" t="s">
        <v>82</v>
      </c>
      <c r="G10" s="7"/>
      <c r="H10" s="7"/>
    </row>
    <row r="11" spans="1:8" x14ac:dyDescent="0.25">
      <c r="A11" s="7"/>
      <c r="B11" s="7"/>
      <c r="C11" s="7"/>
      <c r="D11" s="7" t="s">
        <v>170</v>
      </c>
      <c r="E11" s="7" t="s">
        <v>171</v>
      </c>
      <c r="F11" s="7" t="s">
        <v>172</v>
      </c>
      <c r="G11" s="7"/>
      <c r="H11" s="7"/>
    </row>
    <row r="12" spans="1:8" x14ac:dyDescent="0.25">
      <c r="A12" s="7"/>
      <c r="B12" s="7"/>
      <c r="C12" s="7"/>
      <c r="D12" s="7" t="s">
        <v>173</v>
      </c>
      <c r="E12" s="7" t="s">
        <v>174</v>
      </c>
      <c r="F12" s="7" t="s">
        <v>172</v>
      </c>
      <c r="G12" s="7"/>
      <c r="H12" s="7"/>
    </row>
    <row r="13" spans="1:8" x14ac:dyDescent="0.25">
      <c r="A13" s="7"/>
      <c r="B13" s="7"/>
      <c r="C13" s="7"/>
      <c r="D13" s="7" t="s">
        <v>175</v>
      </c>
      <c r="E13" s="7" t="s">
        <v>176</v>
      </c>
      <c r="F13" s="7" t="s">
        <v>172</v>
      </c>
      <c r="G13" s="7"/>
      <c r="H13" s="7"/>
    </row>
    <row r="14" spans="1:8" x14ac:dyDescent="0.25">
      <c r="A14" s="7"/>
      <c r="B14" s="7"/>
      <c r="C14" s="7"/>
      <c r="D14" s="7" t="s">
        <v>177</v>
      </c>
      <c r="E14" s="7" t="s">
        <v>178</v>
      </c>
      <c r="F14" s="7" t="s">
        <v>179</v>
      </c>
      <c r="G14" s="7"/>
      <c r="H14" s="7"/>
    </row>
    <row r="15" spans="1:8" x14ac:dyDescent="0.25">
      <c r="A15" s="7"/>
      <c r="B15" s="7"/>
      <c r="C15" s="7"/>
      <c r="D15" s="7" t="s">
        <v>180</v>
      </c>
      <c r="E15" s="7" t="s">
        <v>181</v>
      </c>
      <c r="F15" s="7" t="s">
        <v>182</v>
      </c>
      <c r="G15" s="7"/>
      <c r="H15" s="7"/>
    </row>
    <row r="16" spans="1:8" x14ac:dyDescent="0.25">
      <c r="A16" s="7"/>
      <c r="B16" s="7"/>
      <c r="C16" s="7"/>
      <c r="D16" s="7" t="s">
        <v>183</v>
      </c>
      <c r="E16" s="7" t="s">
        <v>184</v>
      </c>
      <c r="F16" s="7" t="s">
        <v>185</v>
      </c>
      <c r="G16" s="7"/>
      <c r="H16" s="7"/>
    </row>
    <row r="17" spans="1:8" x14ac:dyDescent="0.25">
      <c r="A17" s="7"/>
      <c r="B17" s="7"/>
      <c r="C17" s="7"/>
      <c r="D17" s="7" t="s">
        <v>186</v>
      </c>
      <c r="E17" s="7" t="s">
        <v>187</v>
      </c>
      <c r="F17" s="7" t="s">
        <v>188</v>
      </c>
      <c r="G17" s="7"/>
      <c r="H17" s="7"/>
    </row>
    <row r="18" spans="1:8" x14ac:dyDescent="0.25">
      <c r="A18" s="7"/>
      <c r="B18" s="7"/>
      <c r="C18" s="7"/>
      <c r="D18" s="7" t="s">
        <v>189</v>
      </c>
      <c r="E18" s="7" t="s">
        <v>190</v>
      </c>
      <c r="F18" s="7" t="s">
        <v>191</v>
      </c>
      <c r="G18" s="7"/>
      <c r="H18" s="7"/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458DA-9F51-4F50-A101-0C76B81559EE}">
  <sheetPr codeName="Feuil13"/>
  <dimension ref="A1:H17"/>
  <sheetViews>
    <sheetView workbookViewId="0">
      <selection activeCell="L16" sqref="L16"/>
    </sheetView>
  </sheetViews>
  <sheetFormatPr baseColWidth="10" defaultRowHeight="15" x14ac:dyDescent="0.25"/>
  <cols>
    <col min="1" max="1" width="24.85546875" customWidth="1"/>
    <col min="2" max="2" width="12.85546875" bestFit="1" customWidth="1"/>
    <col min="4" max="4" width="20.5703125" bestFit="1" customWidth="1"/>
    <col min="8" max="8" width="17.85546875" bestFit="1" customWidth="1"/>
  </cols>
  <sheetData>
    <row r="1" spans="1:8" ht="16.5" x14ac:dyDescent="0.3">
      <c r="A1" s="1" t="s">
        <v>247</v>
      </c>
      <c r="B1" s="4">
        <f>SUM(Factures!O2:O1000)</f>
        <v>0</v>
      </c>
      <c r="C1" s="1"/>
      <c r="D1" s="1" t="s">
        <v>256</v>
      </c>
      <c r="E1" s="3">
        <f>SUM(Factures!O2:O1000)</f>
        <v>0</v>
      </c>
      <c r="H1" s="1" t="s">
        <v>260</v>
      </c>
    </row>
    <row r="2" spans="1:8" x14ac:dyDescent="0.25">
      <c r="H2" t="str">
        <f>INDEX(Factures!A2:A1000,1)</f>
        <v>FACP/NS-2026-001</v>
      </c>
    </row>
    <row r="3" spans="1:8" ht="16.5" x14ac:dyDescent="0.3">
      <c r="A3" s="5" t="s">
        <v>248</v>
      </c>
      <c r="B3" s="5">
        <f ca="1">SUMPRODUCT((MONTH(Factures!B2:B1000)=MONTH(TODAY())),(Factures!O2:O1000))</f>
        <v>0</v>
      </c>
      <c r="D3" s="1" t="s">
        <v>257</v>
      </c>
      <c r="E3">
        <f>COUNTA(Factures!A2:A1000)</f>
        <v>7</v>
      </c>
      <c r="H3" t="str">
        <f>INDEX(Factures!A2:A1000,2)</f>
        <v>FACP/NS-2026-002</v>
      </c>
    </row>
    <row r="4" spans="1:8" x14ac:dyDescent="0.25">
      <c r="H4" t="s">
        <v>261</v>
      </c>
    </row>
    <row r="5" spans="1:8" ht="16.5" x14ac:dyDescent="0.3">
      <c r="A5" s="1" t="s">
        <v>249</v>
      </c>
      <c r="B5" s="1">
        <f ca="1">COUNTIF(Factures!U2:U1000,"En attente")</f>
        <v>0</v>
      </c>
      <c r="D5" s="1" t="s">
        <v>258</v>
      </c>
      <c r="E5">
        <f>IF(E3=0,0,E1/E3)</f>
        <v>0</v>
      </c>
    </row>
    <row r="7" spans="1:8" ht="16.5" x14ac:dyDescent="0.3">
      <c r="A7" s="1" t="s">
        <v>250</v>
      </c>
      <c r="B7">
        <f ca="1">COUNTIF(Factures!U2:U1000,"Payée")</f>
        <v>0</v>
      </c>
      <c r="D7" s="5" t="s">
        <v>259</v>
      </c>
      <c r="E7">
        <f ca="1">IF(E3=0,0,COUNTIF(Factures!U2:U1000,"Payée")/E3)</f>
        <v>0</v>
      </c>
    </row>
    <row r="9" spans="1:8" ht="16.5" x14ac:dyDescent="0.25">
      <c r="A9" s="5" t="s">
        <v>251</v>
      </c>
      <c r="B9">
        <f ca="1">COUNTIF(Factures!U2:U1000,"Impayée")</f>
        <v>0</v>
      </c>
    </row>
    <row r="11" spans="1:8" ht="16.5" x14ac:dyDescent="0.3">
      <c r="A11" s="1" t="s">
        <v>252</v>
      </c>
    </row>
    <row r="12" spans="1:8" ht="16.5" x14ac:dyDescent="0.3">
      <c r="A12" s="1" t="s">
        <v>111</v>
      </c>
      <c r="B12">
        <f>SUMIF(Factures!F2:F1000,"Location Pick Up",Factures!O2:O1000)</f>
        <v>0</v>
      </c>
    </row>
    <row r="13" spans="1:8" ht="16.5" x14ac:dyDescent="0.3">
      <c r="A13" s="1" t="s">
        <v>253</v>
      </c>
      <c r="B13">
        <f>SUMIF(Factures!F2:F1000,"Formation",Factures!O2:O1000)</f>
        <v>0</v>
      </c>
    </row>
    <row r="14" spans="1:8" ht="16.5" x14ac:dyDescent="0.25">
      <c r="A14" s="5" t="s">
        <v>123</v>
      </c>
      <c r="B14">
        <f>SUMIF(Factures!F2:F1000,"Jardinage",Factures!O2:O1000)</f>
        <v>0</v>
      </c>
    </row>
    <row r="15" spans="1:8" ht="16.5" x14ac:dyDescent="0.3">
      <c r="A15" s="1" t="s">
        <v>126</v>
      </c>
      <c r="B15">
        <f>SUMIF(Factures!F2:F1000,"Gardiennage",Factures!O2:O1000)</f>
        <v>0</v>
      </c>
    </row>
    <row r="16" spans="1:8" ht="16.5" x14ac:dyDescent="0.25">
      <c r="A16" s="5" t="s">
        <v>254</v>
      </c>
      <c r="B16">
        <f>SUMIF(Factures!F2:F1000,"Maintenance",Factures!O2:O1000)</f>
        <v>0</v>
      </c>
    </row>
    <row r="17" spans="1:2" ht="16.5" x14ac:dyDescent="0.3">
      <c r="A17" s="1" t="s">
        <v>255</v>
      </c>
      <c r="B17">
        <f>SUMIF(Factures!F2:F1000,"Autre",Factures!O2:O1000)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89DF0-A183-4332-9BBD-2711AD419003}">
  <sheetPr codeName="Feuil6"/>
  <dimension ref="A1:O3"/>
  <sheetViews>
    <sheetView workbookViewId="0">
      <selection sqref="A1:XFD1"/>
    </sheetView>
  </sheetViews>
  <sheetFormatPr baseColWidth="10" defaultRowHeight="15" x14ac:dyDescent="0.25"/>
  <cols>
    <col min="1" max="1" width="18.42578125" bestFit="1" customWidth="1"/>
    <col min="2" max="2" width="11.140625" bestFit="1" customWidth="1"/>
    <col min="3" max="3" width="21.42578125" bestFit="1" customWidth="1"/>
    <col min="4" max="4" width="16.7109375" bestFit="1" customWidth="1"/>
    <col min="5" max="5" width="15.5703125" bestFit="1" customWidth="1"/>
    <col min="6" max="6" width="11.140625" bestFit="1" customWidth="1"/>
    <col min="7" max="7" width="18.42578125" bestFit="1" customWidth="1"/>
    <col min="8" max="8" width="27.28515625" bestFit="1" customWidth="1"/>
    <col min="9" max="9" width="13.85546875" bestFit="1" customWidth="1"/>
    <col min="10" max="10" width="23.85546875" bestFit="1" customWidth="1"/>
    <col min="11" max="11" width="12.140625" bestFit="1" customWidth="1"/>
    <col min="12" max="12" width="20.28515625" bestFit="1" customWidth="1"/>
    <col min="13" max="13" width="27.28515625" bestFit="1" customWidth="1"/>
    <col min="14" max="14" width="13.42578125" bestFit="1" customWidth="1"/>
    <col min="15" max="15" width="12.140625" bestFit="1" customWidth="1"/>
  </cols>
  <sheetData>
    <row r="1" spans="1:15" x14ac:dyDescent="0.25">
      <c r="A1" t="s">
        <v>139</v>
      </c>
      <c r="B1" t="s">
        <v>140</v>
      </c>
      <c r="C1" t="s">
        <v>141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</row>
    <row r="2" spans="1:15" x14ac:dyDescent="0.25">
      <c r="A2" t="s">
        <v>217</v>
      </c>
      <c r="B2" t="s">
        <v>205</v>
      </c>
      <c r="C2" t="s">
        <v>206</v>
      </c>
      <c r="D2" t="s">
        <v>207</v>
      </c>
      <c r="E2" t="s">
        <v>104</v>
      </c>
      <c r="F2" t="s">
        <v>208</v>
      </c>
      <c r="G2" t="s">
        <v>209</v>
      </c>
      <c r="H2" t="s">
        <v>210</v>
      </c>
      <c r="I2" t="s">
        <v>211</v>
      </c>
      <c r="J2" t="s">
        <v>212</v>
      </c>
      <c r="K2" t="s">
        <v>213</v>
      </c>
      <c r="L2" t="s">
        <v>214</v>
      </c>
      <c r="M2" t="s">
        <v>218</v>
      </c>
      <c r="N2" t="s">
        <v>215</v>
      </c>
      <c r="O2" t="s">
        <v>8</v>
      </c>
    </row>
    <row r="3" spans="1:15" x14ac:dyDescent="0.25">
      <c r="A3" t="s">
        <v>219</v>
      </c>
      <c r="B3" t="s">
        <v>82</v>
      </c>
      <c r="C3" t="s">
        <v>82</v>
      </c>
      <c r="D3" t="s">
        <v>82</v>
      </c>
      <c r="E3" t="s">
        <v>82</v>
      </c>
      <c r="F3" t="s">
        <v>82</v>
      </c>
      <c r="G3" t="s">
        <v>82</v>
      </c>
      <c r="H3" t="s">
        <v>82</v>
      </c>
      <c r="I3" t="s">
        <v>82</v>
      </c>
      <c r="J3" t="s">
        <v>82</v>
      </c>
      <c r="K3" t="s">
        <v>82</v>
      </c>
      <c r="L3" t="s">
        <v>82</v>
      </c>
      <c r="M3" t="s">
        <v>216</v>
      </c>
      <c r="N3" t="s">
        <v>82</v>
      </c>
      <c r="O3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B9A1F-A2B8-45D7-97D4-4B0DD8AB2011}">
  <sheetPr codeName="Feuil7"/>
  <dimension ref="A1:H3"/>
  <sheetViews>
    <sheetView workbookViewId="0">
      <selection activeCell="E15" sqref="E15"/>
    </sheetView>
  </sheetViews>
  <sheetFormatPr baseColWidth="10" defaultRowHeight="15" x14ac:dyDescent="0.25"/>
  <cols>
    <col min="1" max="1" width="24.7109375" bestFit="1" customWidth="1"/>
    <col min="2" max="2" width="20.85546875" bestFit="1" customWidth="1"/>
    <col min="3" max="3" width="11.140625" bestFit="1" customWidth="1"/>
    <col min="4" max="4" width="16.7109375" bestFit="1" customWidth="1"/>
    <col min="5" max="5" width="22.42578125" bestFit="1" customWidth="1"/>
    <col min="6" max="6" width="35.42578125" bestFit="1" customWidth="1"/>
    <col min="7" max="7" width="21.28515625" bestFit="1" customWidth="1"/>
    <col min="8" max="8" width="11.85546875" bestFit="1" customWidth="1"/>
  </cols>
  <sheetData>
    <row r="1" spans="1:8" x14ac:dyDescent="0.25">
      <c r="A1" t="s">
        <v>139</v>
      </c>
      <c r="B1" t="s">
        <v>140</v>
      </c>
      <c r="C1" t="s">
        <v>141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</row>
    <row r="2" spans="1:8" x14ac:dyDescent="0.25">
      <c r="A2" t="s">
        <v>220</v>
      </c>
      <c r="B2" t="s">
        <v>204</v>
      </c>
      <c r="C2" t="s">
        <v>205</v>
      </c>
      <c r="D2" t="s">
        <v>207</v>
      </c>
      <c r="E2" t="s">
        <v>221</v>
      </c>
      <c r="F2" t="s">
        <v>222</v>
      </c>
      <c r="G2" t="s">
        <v>223</v>
      </c>
      <c r="H2" t="s">
        <v>8</v>
      </c>
    </row>
    <row r="3" spans="1:8" x14ac:dyDescent="0.25">
      <c r="A3" t="s">
        <v>224</v>
      </c>
      <c r="B3" t="s">
        <v>82</v>
      </c>
      <c r="C3" t="s">
        <v>82</v>
      </c>
      <c r="D3" t="s">
        <v>82</v>
      </c>
      <c r="E3" t="s">
        <v>82</v>
      </c>
      <c r="F3" t="s">
        <v>82</v>
      </c>
      <c r="G3" t="s">
        <v>82</v>
      </c>
      <c r="H3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FAD7D-D4EF-4CF0-A655-2C72C56764EA}">
  <sheetPr codeName="Feuil8"/>
  <dimension ref="A1:I3"/>
  <sheetViews>
    <sheetView workbookViewId="0">
      <selection activeCell="G9" sqref="G9"/>
    </sheetView>
  </sheetViews>
  <sheetFormatPr baseColWidth="10" defaultRowHeight="15" x14ac:dyDescent="0.25"/>
  <cols>
    <col min="1" max="1" width="22.28515625" bestFit="1" customWidth="1"/>
    <col min="2" max="2" width="11.140625" bestFit="1" customWidth="1"/>
    <col min="3" max="3" width="21.42578125" bestFit="1" customWidth="1"/>
    <col min="4" max="4" width="16.7109375" bestFit="1" customWidth="1"/>
    <col min="5" max="5" width="11.140625" bestFit="1" customWidth="1"/>
    <col min="6" max="6" width="18.42578125" bestFit="1" customWidth="1"/>
    <col min="7" max="7" width="21.85546875" bestFit="1" customWidth="1"/>
    <col min="8" max="8" width="21.28515625" bestFit="1" customWidth="1"/>
    <col min="9" max="9" width="11.85546875" bestFit="1" customWidth="1"/>
  </cols>
  <sheetData>
    <row r="1" spans="1:9" x14ac:dyDescent="0.25">
      <c r="A1" t="s">
        <v>139</v>
      </c>
      <c r="B1" t="s">
        <v>140</v>
      </c>
      <c r="C1" t="s">
        <v>141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</row>
    <row r="2" spans="1:9" x14ac:dyDescent="0.25">
      <c r="A2" t="s">
        <v>225</v>
      </c>
      <c r="B2" t="s">
        <v>205</v>
      </c>
      <c r="C2" t="s">
        <v>206</v>
      </c>
      <c r="D2" t="s">
        <v>207</v>
      </c>
      <c r="E2" t="s">
        <v>208</v>
      </c>
      <c r="F2" t="s">
        <v>209</v>
      </c>
      <c r="G2" t="s">
        <v>226</v>
      </c>
      <c r="H2" t="s">
        <v>227</v>
      </c>
      <c r="I2" t="s">
        <v>8</v>
      </c>
    </row>
    <row r="3" spans="1:9" x14ac:dyDescent="0.25">
      <c r="A3" t="s">
        <v>228</v>
      </c>
      <c r="B3" t="s">
        <v>82</v>
      </c>
      <c r="C3" t="s">
        <v>82</v>
      </c>
      <c r="D3" t="s">
        <v>82</v>
      </c>
      <c r="E3" t="s">
        <v>82</v>
      </c>
      <c r="F3" t="s">
        <v>82</v>
      </c>
      <c r="G3" t="s">
        <v>82</v>
      </c>
      <c r="H3" t="s">
        <v>82</v>
      </c>
      <c r="I3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A4BDD-D4DA-4297-8771-C3E70AB572DF}">
  <sheetPr codeName="Feuil9"/>
  <dimension ref="A1:H3"/>
  <sheetViews>
    <sheetView workbookViewId="0">
      <selection activeCell="G15" sqref="G15"/>
    </sheetView>
  </sheetViews>
  <sheetFormatPr baseColWidth="10" defaultRowHeight="15" x14ac:dyDescent="0.25"/>
  <cols>
    <col min="1" max="1" width="21.85546875" bestFit="1" customWidth="1"/>
    <col min="2" max="2" width="11.140625" bestFit="1" customWidth="1"/>
    <col min="3" max="3" width="20.7109375" bestFit="1" customWidth="1"/>
    <col min="4" max="4" width="11.140625" bestFit="1" customWidth="1"/>
    <col min="5" max="5" width="18.42578125" bestFit="1" customWidth="1"/>
    <col min="6" max="6" width="14.85546875" bestFit="1" customWidth="1"/>
    <col min="7" max="7" width="28.42578125" bestFit="1" customWidth="1"/>
    <col min="8" max="8" width="11.85546875" bestFit="1" customWidth="1"/>
  </cols>
  <sheetData>
    <row r="1" spans="1:8" x14ac:dyDescent="0.25">
      <c r="A1" t="s">
        <v>139</v>
      </c>
      <c r="B1" t="s">
        <v>140</v>
      </c>
      <c r="C1" t="s">
        <v>141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</row>
    <row r="2" spans="1:8" x14ac:dyDescent="0.25">
      <c r="A2" t="s">
        <v>229</v>
      </c>
      <c r="B2" t="s">
        <v>205</v>
      </c>
      <c r="C2" t="s">
        <v>230</v>
      </c>
      <c r="D2" t="s">
        <v>208</v>
      </c>
      <c r="E2" t="s">
        <v>209</v>
      </c>
      <c r="F2" t="s">
        <v>231</v>
      </c>
      <c r="G2" t="s">
        <v>232</v>
      </c>
      <c r="H2" t="s">
        <v>8</v>
      </c>
    </row>
    <row r="3" spans="1:8" x14ac:dyDescent="0.25">
      <c r="A3" t="s">
        <v>233</v>
      </c>
      <c r="B3" t="s">
        <v>82</v>
      </c>
      <c r="C3" t="s">
        <v>82</v>
      </c>
      <c r="D3" t="s">
        <v>82</v>
      </c>
      <c r="E3" t="s">
        <v>82</v>
      </c>
      <c r="F3" t="s">
        <v>82</v>
      </c>
      <c r="G3" t="s">
        <v>82</v>
      </c>
      <c r="H3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35958-5ABA-4069-95F4-C9C5CCC2F701}">
  <sheetPr codeName="Feuil10"/>
  <dimension ref="A1:L3"/>
  <sheetViews>
    <sheetView workbookViewId="0">
      <selection activeCell="G5" sqref="G5"/>
    </sheetView>
  </sheetViews>
  <sheetFormatPr baseColWidth="10" defaultRowHeight="15" x14ac:dyDescent="0.25"/>
  <cols>
    <col min="1" max="1" width="26.140625" bestFit="1" customWidth="1"/>
    <col min="2" max="2" width="16.28515625" bestFit="1" customWidth="1"/>
    <col min="3" max="3" width="19.28515625" bestFit="1" customWidth="1"/>
    <col min="4" max="4" width="25.85546875" bestFit="1" customWidth="1"/>
    <col min="5" max="5" width="11.140625" bestFit="1" customWidth="1"/>
    <col min="6" max="6" width="12.140625" bestFit="1" customWidth="1"/>
    <col min="7" max="7" width="25.28515625" bestFit="1" customWidth="1"/>
    <col min="8" max="8" width="25" bestFit="1" customWidth="1"/>
    <col min="9" max="9" width="27.28515625" bestFit="1" customWidth="1"/>
    <col min="10" max="10" width="12.7109375" bestFit="1" customWidth="1"/>
    <col min="11" max="11" width="45.5703125" bestFit="1" customWidth="1"/>
    <col min="12" max="12" width="12.140625" bestFit="1" customWidth="1"/>
  </cols>
  <sheetData>
    <row r="1" spans="1:12" x14ac:dyDescent="0.25">
      <c r="A1" t="s">
        <v>139</v>
      </c>
      <c r="B1" t="s">
        <v>140</v>
      </c>
      <c r="C1" t="s">
        <v>141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</row>
    <row r="2" spans="1:12" x14ac:dyDescent="0.25">
      <c r="A2" t="s">
        <v>234</v>
      </c>
      <c r="B2" t="s">
        <v>235</v>
      </c>
      <c r="C2" t="s">
        <v>236</v>
      </c>
      <c r="D2" t="s">
        <v>237</v>
      </c>
      <c r="E2" t="s">
        <v>238</v>
      </c>
      <c r="F2" t="s">
        <v>239</v>
      </c>
      <c r="G2" t="s">
        <v>240</v>
      </c>
      <c r="H2" t="s">
        <v>241</v>
      </c>
      <c r="I2" t="s">
        <v>210</v>
      </c>
      <c r="J2" t="s">
        <v>242</v>
      </c>
      <c r="K2" t="s">
        <v>8</v>
      </c>
      <c r="L2" t="s">
        <v>82</v>
      </c>
    </row>
    <row r="3" spans="1:12" x14ac:dyDescent="0.25">
      <c r="A3" t="s">
        <v>82</v>
      </c>
      <c r="B3" t="s">
        <v>82</v>
      </c>
      <c r="C3" t="s">
        <v>82</v>
      </c>
      <c r="D3" t="s">
        <v>82</v>
      </c>
      <c r="E3" t="s">
        <v>82</v>
      </c>
      <c r="F3" t="s">
        <v>82</v>
      </c>
      <c r="G3" t="s">
        <v>82</v>
      </c>
      <c r="H3" t="s">
        <v>82</v>
      </c>
      <c r="I3" t="s">
        <v>82</v>
      </c>
      <c r="J3" t="s">
        <v>82</v>
      </c>
      <c r="K3" t="s">
        <v>243</v>
      </c>
      <c r="L3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F76BE-8FA2-48C0-BB28-D4E67BBCC1A1}">
  <sheetPr codeName="Feuil5"/>
  <dimension ref="A1:Z462"/>
  <sheetViews>
    <sheetView tabSelected="1" zoomScale="70" zoomScaleNormal="70" workbookViewId="0">
      <selection activeCell="E8" sqref="E8"/>
    </sheetView>
  </sheetViews>
  <sheetFormatPr baseColWidth="10" defaultRowHeight="15" x14ac:dyDescent="0.25"/>
  <cols>
    <col min="1" max="1" width="25" style="13" bestFit="1" customWidth="1"/>
    <col min="2" max="2" width="17.5703125" style="10" bestFit="1" customWidth="1"/>
    <col min="3" max="3" width="21.42578125" style="10" bestFit="1" customWidth="1"/>
    <col min="4" max="4" width="37.140625" style="10" bestFit="1" customWidth="1"/>
    <col min="5" max="5" width="31" style="10" customWidth="1"/>
    <col min="6" max="6" width="23.42578125" style="10" bestFit="1" customWidth="1"/>
    <col min="7" max="7" width="33.5703125" style="10" bestFit="1" customWidth="1"/>
    <col min="8" max="8" width="18.42578125" style="10" bestFit="1" customWidth="1"/>
    <col min="9" max="9" width="27.28515625" style="10" bestFit="1" customWidth="1"/>
    <col min="10" max="10" width="15" style="10" customWidth="1"/>
    <col min="11" max="11" width="23" style="10" bestFit="1" customWidth="1"/>
    <col min="12" max="12" width="23.85546875" style="10" customWidth="1"/>
    <col min="13" max="13" width="21.7109375" style="10" customWidth="1"/>
    <col min="14" max="14" width="22.7109375" style="10" bestFit="1" customWidth="1"/>
    <col min="15" max="15" width="21.42578125" style="10" bestFit="1" customWidth="1"/>
    <col min="16" max="16" width="24.140625" style="10" bestFit="1" customWidth="1"/>
    <col min="17" max="17" width="24" style="10" customWidth="1"/>
    <col min="18" max="18" width="28.140625" style="10" bestFit="1" customWidth="1"/>
    <col min="19" max="20" width="24" style="10" customWidth="1"/>
    <col min="21" max="21" width="15.7109375" style="10" bestFit="1" customWidth="1"/>
    <col min="22" max="22" width="21.85546875" style="10" customWidth="1"/>
    <col min="23" max="23" width="23.140625" style="10" customWidth="1"/>
    <col min="24" max="24" width="23.42578125" style="10" customWidth="1"/>
    <col min="25" max="25" width="20" style="10" bestFit="1" customWidth="1"/>
    <col min="26" max="26" width="15.28515625" style="10" bestFit="1" customWidth="1"/>
    <col min="27" max="16384" width="11.42578125" style="10"/>
  </cols>
  <sheetData>
    <row r="1" spans="1:26" s="12" customFormat="1" ht="45.75" thickBot="1" x14ac:dyDescent="0.3">
      <c r="A1" s="20" t="s">
        <v>204</v>
      </c>
      <c r="B1" s="22" t="s">
        <v>205</v>
      </c>
      <c r="C1" s="26" t="s">
        <v>206</v>
      </c>
      <c r="D1" s="20" t="s">
        <v>207</v>
      </c>
      <c r="E1" s="22" t="s">
        <v>282</v>
      </c>
      <c r="F1" s="22" t="s">
        <v>104</v>
      </c>
      <c r="G1" s="22" t="s">
        <v>208</v>
      </c>
      <c r="H1" s="22" t="s">
        <v>209</v>
      </c>
      <c r="I1" s="26" t="s">
        <v>210</v>
      </c>
      <c r="J1" s="20" t="s">
        <v>211</v>
      </c>
      <c r="K1" s="21" t="s">
        <v>212</v>
      </c>
      <c r="L1" s="22" t="s">
        <v>265</v>
      </c>
      <c r="M1" s="21" t="s">
        <v>267</v>
      </c>
      <c r="N1" s="21" t="s">
        <v>266</v>
      </c>
      <c r="O1" s="22" t="s">
        <v>268</v>
      </c>
      <c r="P1" s="22" t="s">
        <v>269</v>
      </c>
      <c r="Q1" s="22" t="s">
        <v>294</v>
      </c>
      <c r="R1" s="22" t="s">
        <v>283</v>
      </c>
      <c r="S1" s="22" t="s">
        <v>284</v>
      </c>
      <c r="T1" s="22" t="s">
        <v>285</v>
      </c>
      <c r="U1" s="21" t="s">
        <v>270</v>
      </c>
      <c r="V1" s="22" t="s">
        <v>272</v>
      </c>
      <c r="W1" s="21" t="s">
        <v>271</v>
      </c>
      <c r="X1" s="21" t="s">
        <v>286</v>
      </c>
      <c r="Y1" s="23" t="s">
        <v>273</v>
      </c>
      <c r="Z1" s="14"/>
    </row>
    <row r="2" spans="1:26" ht="16.5" x14ac:dyDescent="0.3">
      <c r="A2" s="29" t="s">
        <v>295</v>
      </c>
      <c r="B2" s="27">
        <f ca="1">TODAY()</f>
        <v>46296</v>
      </c>
      <c r="C2" s="19" t="str">
        <f>IF(D2="","",INDEX(Clients!B:B,MATCH(D2,Clients!A:A,0)))</f>
        <v>NS-CL-0001</v>
      </c>
      <c r="D2" s="19" t="s">
        <v>9</v>
      </c>
      <c r="E2" s="19" t="s">
        <v>288</v>
      </c>
      <c r="F2" s="19" t="s">
        <v>115</v>
      </c>
      <c r="G2" s="19" t="s">
        <v>244</v>
      </c>
      <c r="H2" s="24">
        <v>3</v>
      </c>
      <c r="I2" s="25">
        <f>IFERROR(INDEX(Service_Tarifs!$D$2:$D$271,MATCH(F2,Service_Tarifs!$B$2:$B$271,0)),"")</f>
        <v>250000</v>
      </c>
      <c r="J2" s="15">
        <v>0</v>
      </c>
      <c r="K2" s="16">
        <f t="shared" ref="K2" si="0">IF(OR(F2="",H2=""),"",H2*I2)</f>
        <v>750000</v>
      </c>
      <c r="L2" s="15">
        <v>0.05</v>
      </c>
      <c r="M2" s="16">
        <f t="shared" ref="M2" si="1">IF(OR(F2="",K2="",L2=""),"",K2*L2)</f>
        <v>37500</v>
      </c>
      <c r="N2" s="16">
        <f>IF(OR(F2="",K2=""),"",K2-M2)</f>
        <v>712500</v>
      </c>
      <c r="O2" s="16">
        <f>IF(OR(F2="",J2="",N2=""),"",N2*J2)</f>
        <v>0</v>
      </c>
      <c r="P2" s="16">
        <f t="shared" ref="P2" si="2">IF(F2="","",N2+O2)</f>
        <v>712500</v>
      </c>
      <c r="Q2" s="30">
        <v>0.05</v>
      </c>
      <c r="R2" s="16">
        <f t="shared" ref="R2" si="3">IF(E2="Pro-forma",P2*Q2,"")</f>
        <v>35625</v>
      </c>
      <c r="S2" s="16">
        <v>300000</v>
      </c>
      <c r="T2" s="17" t="str">
        <f t="shared" ref="T2" si="4">IF(E2="Finale",P2-S2,"")</f>
        <v/>
      </c>
      <c r="U2" s="18">
        <f t="shared" ref="U2" ca="1" si="5">IF(B2="","",B2+30)</f>
        <v>46326</v>
      </c>
      <c r="V2" s="19" t="s">
        <v>278</v>
      </c>
      <c r="W2" s="19" t="s">
        <v>274</v>
      </c>
      <c r="X2" s="19"/>
      <c r="Y2" s="19"/>
    </row>
    <row r="3" spans="1:26" ht="16.5" x14ac:dyDescent="0.3">
      <c r="A3" s="29" t="s">
        <v>296</v>
      </c>
      <c r="B3" s="27">
        <f t="shared" ref="B3:B66" ca="1" si="6">TODAY()</f>
        <v>46296</v>
      </c>
      <c r="C3" s="19" t="str">
        <f>IF(D3="","",INDEX(Clients!B:B,MATCH(D3,Clients!A:A,0)))</f>
        <v>NS-CL-0001</v>
      </c>
      <c r="D3" s="19" t="s">
        <v>9</v>
      </c>
      <c r="E3" s="19" t="s">
        <v>288</v>
      </c>
      <c r="F3" s="19" t="s">
        <v>111</v>
      </c>
      <c r="G3" s="19" t="s">
        <v>244</v>
      </c>
      <c r="H3" s="24">
        <v>2</v>
      </c>
      <c r="I3" s="25">
        <f>IFERROR(INDEX(Service_Tarifs!$D$2:$D$271,MATCH(F3,Service_Tarifs!$B$2:$B$271,0)),"")</f>
        <v>200000</v>
      </c>
      <c r="J3" s="15">
        <v>0</v>
      </c>
      <c r="K3" s="16">
        <f t="shared" ref="K3:K66" si="7">IF(OR(F3="",H3=""),"",H3*I3)</f>
        <v>400000</v>
      </c>
      <c r="L3" s="15">
        <v>0.1</v>
      </c>
      <c r="M3" s="16">
        <f t="shared" ref="M3:M66" si="8">IF(OR(F3="",K3="",L3=""),"",K3*L3)</f>
        <v>40000</v>
      </c>
      <c r="N3" s="16">
        <f t="shared" ref="N3:N66" si="9">IF(OR(F3="",K3=""),"",K3-M3)</f>
        <v>360000</v>
      </c>
      <c r="O3" s="16">
        <f t="shared" ref="O3:O66" si="10">IF(OR(F3="",J3="",N3=""),"",N3*J3)</f>
        <v>0</v>
      </c>
      <c r="P3" s="16">
        <f t="shared" ref="P3:P66" si="11">IF(F3="","",N3+O3)</f>
        <v>360000</v>
      </c>
      <c r="Q3" s="30"/>
      <c r="R3" s="16">
        <f t="shared" ref="R3:R66" si="12">IF(E3="Pro-forma",P3*Q3,"")</f>
        <v>0</v>
      </c>
      <c r="S3" s="16">
        <v>300000</v>
      </c>
      <c r="T3" s="17" t="str">
        <f t="shared" ref="T3:T66" si="13">IF(E3="Finale",P3-S3,"")</f>
        <v/>
      </c>
      <c r="U3" s="18">
        <f t="shared" ref="U3:U66" ca="1" si="14">IF(B3="","",B3+30)</f>
        <v>46326</v>
      </c>
      <c r="V3" s="10" t="s">
        <v>281</v>
      </c>
      <c r="W3" s="10" t="s">
        <v>175</v>
      </c>
    </row>
    <row r="4" spans="1:26" ht="16.5" x14ac:dyDescent="0.3">
      <c r="A4" s="29" t="s">
        <v>297</v>
      </c>
      <c r="B4" s="27">
        <f t="shared" ca="1" si="6"/>
        <v>46296</v>
      </c>
      <c r="C4" s="19" t="str">
        <f>IF(D4="","",INDEX(Clients!B:B,MATCH(D4,Clients!A:A,0)))</f>
        <v>NS-CL-0001</v>
      </c>
      <c r="D4" s="19" t="s">
        <v>9</v>
      </c>
      <c r="E4" s="19" t="s">
        <v>288</v>
      </c>
      <c r="F4" s="19"/>
      <c r="G4" s="19"/>
      <c r="H4" s="24"/>
      <c r="I4" s="25" t="str">
        <f>IFERROR(INDEX(Service_Tarifs!$D$2:$D$271,MATCH(F4,Service_Tarifs!$B$2:$B$271,0)),"")</f>
        <v/>
      </c>
      <c r="J4" s="15" t="str">
        <f>IFERROR(INDEX(Service_Tarifs!$F$2:$F$271,MATCH(F4,Service_Tarifs!$B$2:$B$271,0)),"")</f>
        <v/>
      </c>
      <c r="K4" s="16" t="str">
        <f t="shared" si="7"/>
        <v/>
      </c>
      <c r="L4" s="15"/>
      <c r="M4" s="16" t="str">
        <f t="shared" si="8"/>
        <v/>
      </c>
      <c r="N4" s="16" t="str">
        <f t="shared" si="9"/>
        <v/>
      </c>
      <c r="O4" s="16" t="str">
        <f t="shared" si="10"/>
        <v/>
      </c>
      <c r="P4" s="16" t="str">
        <f t="shared" si="11"/>
        <v/>
      </c>
      <c r="Q4" s="30"/>
      <c r="R4" s="16" t="e">
        <f t="shared" si="12"/>
        <v>#VALUE!</v>
      </c>
      <c r="S4" s="16">
        <v>300000</v>
      </c>
      <c r="T4" s="17" t="str">
        <f t="shared" si="13"/>
        <v/>
      </c>
      <c r="U4" s="18">
        <f t="shared" ca="1" si="14"/>
        <v>46326</v>
      </c>
    </row>
    <row r="5" spans="1:26" ht="16.5" x14ac:dyDescent="0.3">
      <c r="A5" s="29" t="s">
        <v>298</v>
      </c>
      <c r="B5" s="27">
        <f t="shared" ca="1" si="6"/>
        <v>46296</v>
      </c>
      <c r="C5" s="19" t="str">
        <f>IF(D5="","",INDEX(Clients!B:B,MATCH(D5,Clients!A:A,0)))</f>
        <v>NS-CL-0001</v>
      </c>
      <c r="D5" s="19" t="s">
        <v>9</v>
      </c>
      <c r="E5" s="19" t="s">
        <v>290</v>
      </c>
      <c r="F5" s="19"/>
      <c r="G5" s="19"/>
      <c r="H5" s="24"/>
      <c r="I5" s="25" t="str">
        <f>IFERROR(INDEX(Service_Tarifs!$D$2:$D$271,MATCH(F5,Service_Tarifs!$B$2:$B$271,0)),"")</f>
        <v/>
      </c>
      <c r="J5" s="15" t="str">
        <f>IFERROR(INDEX(Service_Tarifs!$F$2:$F$271,MATCH(F5,Service_Tarifs!$B$2:$B$271,0)),"")</f>
        <v/>
      </c>
      <c r="K5" s="16" t="str">
        <f t="shared" si="7"/>
        <v/>
      </c>
      <c r="L5" s="15"/>
      <c r="M5" s="16" t="str">
        <f t="shared" si="8"/>
        <v/>
      </c>
      <c r="N5" s="16" t="str">
        <f t="shared" si="9"/>
        <v/>
      </c>
      <c r="O5" s="16" t="str">
        <f t="shared" si="10"/>
        <v/>
      </c>
      <c r="P5" s="16" t="str">
        <f t="shared" si="11"/>
        <v/>
      </c>
      <c r="Q5" s="30"/>
      <c r="R5" s="16" t="str">
        <f t="shared" si="12"/>
        <v/>
      </c>
      <c r="S5" s="16">
        <v>300000</v>
      </c>
      <c r="T5" s="17" t="str">
        <f t="shared" si="13"/>
        <v/>
      </c>
      <c r="U5" s="18">
        <f t="shared" ca="1" si="14"/>
        <v>46326</v>
      </c>
    </row>
    <row r="6" spans="1:26" ht="16.5" x14ac:dyDescent="0.3">
      <c r="A6" s="29" t="s">
        <v>299</v>
      </c>
      <c r="B6" s="27">
        <f t="shared" ca="1" si="6"/>
        <v>46296</v>
      </c>
      <c r="C6" s="19" t="str">
        <f>IF(D6="","",INDEX(Clients!B:B,MATCH(D6,Clients!A:A,0)))</f>
        <v>NS-CL-0001</v>
      </c>
      <c r="D6" s="19" t="s">
        <v>9</v>
      </c>
      <c r="E6" s="19" t="s">
        <v>290</v>
      </c>
      <c r="F6" s="19"/>
      <c r="G6" s="19"/>
      <c r="H6" s="24"/>
      <c r="I6" s="25" t="str">
        <f>IFERROR(INDEX(Service_Tarifs!$D$2:$D$271,MATCH(F6,Service_Tarifs!$B$2:$B$271,0)),"")</f>
        <v/>
      </c>
      <c r="J6" s="15" t="str">
        <f>IFERROR(INDEX(Service_Tarifs!$F$2:$F$271,MATCH(F6,Service_Tarifs!$B$2:$B$271,0)),"")</f>
        <v/>
      </c>
      <c r="K6" s="16" t="str">
        <f t="shared" si="7"/>
        <v/>
      </c>
      <c r="L6" s="15"/>
      <c r="M6" s="16" t="str">
        <f t="shared" si="8"/>
        <v/>
      </c>
      <c r="N6" s="16" t="str">
        <f t="shared" si="9"/>
        <v/>
      </c>
      <c r="O6" s="16" t="str">
        <f t="shared" si="10"/>
        <v/>
      </c>
      <c r="P6" s="16" t="str">
        <f t="shared" si="11"/>
        <v/>
      </c>
      <c r="Q6" s="30"/>
      <c r="R6" s="16" t="str">
        <f t="shared" si="12"/>
        <v/>
      </c>
      <c r="S6" s="16">
        <v>300000</v>
      </c>
      <c r="T6" s="17" t="str">
        <f t="shared" si="13"/>
        <v/>
      </c>
      <c r="U6" s="18">
        <f t="shared" ca="1" si="14"/>
        <v>46326</v>
      </c>
    </row>
    <row r="7" spans="1:26" ht="16.5" x14ac:dyDescent="0.3">
      <c r="A7" s="29" t="s">
        <v>300</v>
      </c>
      <c r="B7" s="27">
        <f t="shared" ca="1" si="6"/>
        <v>46296</v>
      </c>
      <c r="C7" s="19" t="str">
        <f>IF(D7="","",INDEX(Clients!B:B,MATCH(D7,Clients!A:A,0)))</f>
        <v>NS-CL-0001</v>
      </c>
      <c r="D7" s="19" t="s">
        <v>9</v>
      </c>
      <c r="E7" s="19" t="s">
        <v>291</v>
      </c>
      <c r="F7" s="19"/>
      <c r="G7" s="19"/>
      <c r="H7" s="24"/>
      <c r="I7" s="25" t="str">
        <f>IFERROR(INDEX(Service_Tarifs!$D$2:$D$271,MATCH(F7,Service_Tarifs!$B$2:$B$271,0)),"")</f>
        <v/>
      </c>
      <c r="J7" s="15" t="str">
        <f>IFERROR(INDEX(Service_Tarifs!$F$2:$F$271,MATCH(F7,Service_Tarifs!$B$2:$B$271,0)),"")</f>
        <v/>
      </c>
      <c r="K7" s="16" t="str">
        <f t="shared" si="7"/>
        <v/>
      </c>
      <c r="L7" s="15"/>
      <c r="M7" s="16" t="str">
        <f t="shared" si="8"/>
        <v/>
      </c>
      <c r="N7" s="16" t="str">
        <f t="shared" si="9"/>
        <v/>
      </c>
      <c r="O7" s="16" t="str">
        <f t="shared" si="10"/>
        <v/>
      </c>
      <c r="P7" s="16" t="str">
        <f t="shared" si="11"/>
        <v/>
      </c>
      <c r="Q7" s="30"/>
      <c r="R7" s="16" t="str">
        <f t="shared" si="12"/>
        <v/>
      </c>
      <c r="S7" s="16">
        <v>300000</v>
      </c>
      <c r="T7" s="17" t="str">
        <f t="shared" si="13"/>
        <v/>
      </c>
      <c r="U7" s="18">
        <f t="shared" ca="1" si="14"/>
        <v>46326</v>
      </c>
    </row>
    <row r="8" spans="1:26" ht="16.5" x14ac:dyDescent="0.3">
      <c r="A8" s="29" t="s">
        <v>301</v>
      </c>
      <c r="B8" s="27">
        <f t="shared" ca="1" si="6"/>
        <v>46296</v>
      </c>
      <c r="C8" s="19" t="str">
        <f>IF(D8="","",INDEX(Clients!B:B,MATCH(D8,Clients!A:A,0)))</f>
        <v>NS-CL-0001</v>
      </c>
      <c r="D8" s="19" t="s">
        <v>9</v>
      </c>
      <c r="E8" s="19" t="s">
        <v>289</v>
      </c>
      <c r="F8" s="19"/>
      <c r="G8" s="19"/>
      <c r="H8" s="24"/>
      <c r="I8" s="25" t="str">
        <f>IFERROR(INDEX(Service_Tarifs!$D$2:$D$271,MATCH(F8,Service_Tarifs!$B$2:$B$271,0)),"")</f>
        <v/>
      </c>
      <c r="J8" s="15" t="str">
        <f>IFERROR(INDEX(Service_Tarifs!$F$2:$F$271,MATCH(F8,Service_Tarifs!$B$2:$B$271,0)),"")</f>
        <v/>
      </c>
      <c r="K8" s="16" t="str">
        <f t="shared" si="7"/>
        <v/>
      </c>
      <c r="L8" s="15"/>
      <c r="M8" s="16" t="str">
        <f t="shared" si="8"/>
        <v/>
      </c>
      <c r="N8" s="16" t="str">
        <f t="shared" si="9"/>
        <v/>
      </c>
      <c r="O8" s="16" t="str">
        <f t="shared" si="10"/>
        <v/>
      </c>
      <c r="P8" s="16" t="str">
        <f t="shared" si="11"/>
        <v/>
      </c>
      <c r="Q8" s="30"/>
      <c r="R8" s="16" t="str">
        <f t="shared" si="12"/>
        <v/>
      </c>
      <c r="S8" s="16">
        <v>300000</v>
      </c>
      <c r="T8" s="17" t="e">
        <f t="shared" si="13"/>
        <v>#VALUE!</v>
      </c>
      <c r="U8" s="18">
        <f t="shared" ca="1" si="14"/>
        <v>46326</v>
      </c>
    </row>
    <row r="9" spans="1:26" ht="16.5" x14ac:dyDescent="0.3">
      <c r="A9" s="29"/>
      <c r="B9" s="27">
        <f t="shared" ca="1" si="6"/>
        <v>46296</v>
      </c>
      <c r="C9" s="19" t="str">
        <f>IF(D9="","",INDEX(Clients!B:B,MATCH(D9,Clients!A:A,0)))</f>
        <v>NS-CL-0001</v>
      </c>
      <c r="D9" s="19" t="s">
        <v>9</v>
      </c>
      <c r="E9" s="19"/>
      <c r="F9" s="19"/>
      <c r="G9" s="19"/>
      <c r="H9" s="24"/>
      <c r="I9" s="25" t="str">
        <f>IFERROR(INDEX(Service_Tarifs!$D$2:$D$271,MATCH(F9,Service_Tarifs!$B$2:$B$271,0)),"")</f>
        <v/>
      </c>
      <c r="J9" s="15" t="str">
        <f>IFERROR(INDEX(Service_Tarifs!$F$2:$F$271,MATCH(F9,Service_Tarifs!$B$2:$B$271,0)),"")</f>
        <v/>
      </c>
      <c r="K9" s="16" t="str">
        <f t="shared" si="7"/>
        <v/>
      </c>
      <c r="L9" s="15"/>
      <c r="M9" s="16" t="str">
        <f t="shared" si="8"/>
        <v/>
      </c>
      <c r="N9" s="16" t="str">
        <f t="shared" si="9"/>
        <v/>
      </c>
      <c r="O9" s="16" t="str">
        <f t="shared" si="10"/>
        <v/>
      </c>
      <c r="P9" s="16" t="str">
        <f t="shared" si="11"/>
        <v/>
      </c>
      <c r="Q9" s="30"/>
      <c r="R9" s="16" t="str">
        <f t="shared" si="12"/>
        <v/>
      </c>
      <c r="S9" s="16">
        <v>300000</v>
      </c>
      <c r="T9" s="17" t="str">
        <f t="shared" si="13"/>
        <v/>
      </c>
      <c r="U9" s="18">
        <f t="shared" ca="1" si="14"/>
        <v>46326</v>
      </c>
    </row>
    <row r="10" spans="1:26" ht="16.5" x14ac:dyDescent="0.3">
      <c r="A10" s="29"/>
      <c r="B10" s="27">
        <f t="shared" ca="1" si="6"/>
        <v>46296</v>
      </c>
      <c r="C10" s="19" t="str">
        <f>IF(D10="","",INDEX(Clients!B:B,MATCH(D10,Clients!A:A,0)))</f>
        <v>NS-CL-0001</v>
      </c>
      <c r="D10" s="19" t="s">
        <v>9</v>
      </c>
      <c r="E10" s="19"/>
      <c r="F10" s="19"/>
      <c r="G10" s="19"/>
      <c r="H10" s="24"/>
      <c r="I10" s="25" t="str">
        <f>IFERROR(INDEX(Service_Tarifs!$D$2:$D$271,MATCH(F10,Service_Tarifs!$B$2:$B$271,0)),"")</f>
        <v/>
      </c>
      <c r="J10" s="15" t="str">
        <f>IFERROR(INDEX(Service_Tarifs!$F$2:$F$271,MATCH(F10,Service_Tarifs!$B$2:$B$271,0)),"")</f>
        <v/>
      </c>
      <c r="K10" s="16" t="str">
        <f t="shared" si="7"/>
        <v/>
      </c>
      <c r="L10" s="15"/>
      <c r="M10" s="16" t="str">
        <f t="shared" si="8"/>
        <v/>
      </c>
      <c r="N10" s="16" t="str">
        <f t="shared" si="9"/>
        <v/>
      </c>
      <c r="O10" s="16" t="str">
        <f t="shared" si="10"/>
        <v/>
      </c>
      <c r="P10" s="16" t="str">
        <f t="shared" si="11"/>
        <v/>
      </c>
      <c r="Q10" s="30"/>
      <c r="R10" s="16" t="str">
        <f t="shared" si="12"/>
        <v/>
      </c>
      <c r="S10" s="16">
        <v>300000</v>
      </c>
      <c r="T10" s="17" t="str">
        <f t="shared" si="13"/>
        <v/>
      </c>
      <c r="U10" s="18">
        <f t="shared" ca="1" si="14"/>
        <v>46326</v>
      </c>
    </row>
    <row r="11" spans="1:26" ht="16.5" x14ac:dyDescent="0.3">
      <c r="A11" s="29"/>
      <c r="B11" s="27">
        <f t="shared" ca="1" si="6"/>
        <v>46296</v>
      </c>
      <c r="C11" s="19" t="str">
        <f>IF(D11="","",INDEX(Clients!B:B,MATCH(D11,Clients!A:A,0)))</f>
        <v>NS-CL-0001</v>
      </c>
      <c r="D11" s="19" t="s">
        <v>9</v>
      </c>
      <c r="E11" s="19"/>
      <c r="F11" s="19"/>
      <c r="G11" s="19"/>
      <c r="H11" s="24"/>
      <c r="I11" s="25" t="str">
        <f>IFERROR(INDEX(Service_Tarifs!$D$2:$D$271,MATCH(F11,Service_Tarifs!$B$2:$B$271,0)),"")</f>
        <v/>
      </c>
      <c r="J11" s="15" t="str">
        <f>IFERROR(INDEX(Service_Tarifs!$F$2:$F$271,MATCH(F11,Service_Tarifs!$B$2:$B$271,0)),"")</f>
        <v/>
      </c>
      <c r="K11" s="16" t="str">
        <f t="shared" si="7"/>
        <v/>
      </c>
      <c r="L11" s="15"/>
      <c r="M11" s="16" t="str">
        <f t="shared" si="8"/>
        <v/>
      </c>
      <c r="N11" s="16" t="str">
        <f t="shared" si="9"/>
        <v/>
      </c>
      <c r="O11" s="16" t="str">
        <f t="shared" si="10"/>
        <v/>
      </c>
      <c r="P11" s="16" t="str">
        <f t="shared" si="11"/>
        <v/>
      </c>
      <c r="Q11" s="30"/>
      <c r="R11" s="16" t="str">
        <f t="shared" si="12"/>
        <v/>
      </c>
      <c r="S11" s="16">
        <v>300000</v>
      </c>
      <c r="T11" s="17" t="str">
        <f t="shared" si="13"/>
        <v/>
      </c>
      <c r="U11" s="18">
        <f t="shared" ca="1" si="14"/>
        <v>46326</v>
      </c>
    </row>
    <row r="12" spans="1:26" ht="16.5" x14ac:dyDescent="0.3">
      <c r="A12" s="29"/>
      <c r="B12" s="27">
        <f t="shared" ca="1" si="6"/>
        <v>46296</v>
      </c>
      <c r="C12" s="19" t="str">
        <f>IF(D12="","",INDEX(Clients!B:B,MATCH(D12,Clients!A:A,0)))</f>
        <v>NS-CL-0001</v>
      </c>
      <c r="D12" s="19" t="s">
        <v>9</v>
      </c>
      <c r="E12" s="19"/>
      <c r="F12" s="19"/>
      <c r="G12" s="19"/>
      <c r="H12" s="24"/>
      <c r="I12" s="25" t="str">
        <f>IFERROR(INDEX(Service_Tarifs!$D$2:$D$271,MATCH(F12,Service_Tarifs!$B$2:$B$271,0)),"")</f>
        <v/>
      </c>
      <c r="J12" s="15" t="str">
        <f>IFERROR(INDEX(Service_Tarifs!$F$2:$F$271,MATCH(F12,Service_Tarifs!$B$2:$B$271,0)),"")</f>
        <v/>
      </c>
      <c r="K12" s="16" t="str">
        <f t="shared" si="7"/>
        <v/>
      </c>
      <c r="L12" s="15"/>
      <c r="M12" s="16" t="str">
        <f t="shared" si="8"/>
        <v/>
      </c>
      <c r="N12" s="16" t="str">
        <f t="shared" si="9"/>
        <v/>
      </c>
      <c r="O12" s="16" t="str">
        <f t="shared" si="10"/>
        <v/>
      </c>
      <c r="P12" s="16" t="str">
        <f t="shared" si="11"/>
        <v/>
      </c>
      <c r="Q12" s="30"/>
      <c r="R12" s="16" t="str">
        <f t="shared" si="12"/>
        <v/>
      </c>
      <c r="S12" s="16">
        <v>300000</v>
      </c>
      <c r="T12" s="17" t="str">
        <f t="shared" si="13"/>
        <v/>
      </c>
      <c r="U12" s="18">
        <f t="shared" ca="1" si="14"/>
        <v>46326</v>
      </c>
    </row>
    <row r="13" spans="1:26" ht="16.5" x14ac:dyDescent="0.3">
      <c r="A13" s="29"/>
      <c r="B13" s="27">
        <f t="shared" ca="1" si="6"/>
        <v>46296</v>
      </c>
      <c r="C13" s="19" t="str">
        <f>IF(D13="","",INDEX(Clients!B:B,MATCH(D13,Clients!A:A,0)))</f>
        <v>NS-CL-0001</v>
      </c>
      <c r="D13" s="19" t="s">
        <v>9</v>
      </c>
      <c r="E13" s="19"/>
      <c r="F13" s="19"/>
      <c r="G13" s="19"/>
      <c r="H13" s="24"/>
      <c r="I13" s="25" t="str">
        <f>IFERROR(INDEX(Service_Tarifs!$D$2:$D$271,MATCH(F13,Service_Tarifs!$B$2:$B$271,0)),"")</f>
        <v/>
      </c>
      <c r="J13" s="15" t="str">
        <f>IFERROR(INDEX(Service_Tarifs!$F$2:$F$271,MATCH(F13,Service_Tarifs!$B$2:$B$271,0)),"")</f>
        <v/>
      </c>
      <c r="K13" s="16" t="str">
        <f t="shared" si="7"/>
        <v/>
      </c>
      <c r="L13" s="15"/>
      <c r="M13" s="16" t="str">
        <f t="shared" si="8"/>
        <v/>
      </c>
      <c r="N13" s="16" t="str">
        <f t="shared" si="9"/>
        <v/>
      </c>
      <c r="O13" s="16" t="str">
        <f t="shared" si="10"/>
        <v/>
      </c>
      <c r="P13" s="16" t="str">
        <f t="shared" si="11"/>
        <v/>
      </c>
      <c r="Q13" s="30"/>
      <c r="R13" s="16" t="str">
        <f t="shared" si="12"/>
        <v/>
      </c>
      <c r="S13" s="16">
        <v>300000</v>
      </c>
      <c r="T13" s="17" t="str">
        <f t="shared" si="13"/>
        <v/>
      </c>
      <c r="U13" s="18">
        <f t="shared" ca="1" si="14"/>
        <v>46326</v>
      </c>
    </row>
    <row r="14" spans="1:26" ht="16.5" x14ac:dyDescent="0.3">
      <c r="A14" s="29"/>
      <c r="B14" s="27">
        <f t="shared" ca="1" si="6"/>
        <v>46296</v>
      </c>
      <c r="C14" s="19" t="str">
        <f>IF(D14="","",INDEX(Clients!B:B,MATCH(D14,Clients!A:A,0)))</f>
        <v>NS-CL-0001</v>
      </c>
      <c r="D14" s="19" t="s">
        <v>9</v>
      </c>
      <c r="E14" s="19"/>
      <c r="F14" s="19"/>
      <c r="G14" s="19"/>
      <c r="H14" s="24"/>
      <c r="I14" s="25" t="str">
        <f>IFERROR(INDEX(Service_Tarifs!$D$2:$D$271,MATCH(F14,Service_Tarifs!$B$2:$B$271,0)),"")</f>
        <v/>
      </c>
      <c r="J14" s="15" t="str">
        <f>IFERROR(INDEX(Service_Tarifs!$F$2:$F$271,MATCH(F14,Service_Tarifs!$B$2:$B$271,0)),"")</f>
        <v/>
      </c>
      <c r="K14" s="16" t="str">
        <f t="shared" si="7"/>
        <v/>
      </c>
      <c r="L14" s="15"/>
      <c r="M14" s="16" t="str">
        <f t="shared" si="8"/>
        <v/>
      </c>
      <c r="N14" s="16" t="str">
        <f t="shared" si="9"/>
        <v/>
      </c>
      <c r="O14" s="16" t="str">
        <f t="shared" si="10"/>
        <v/>
      </c>
      <c r="P14" s="16" t="str">
        <f t="shared" si="11"/>
        <v/>
      </c>
      <c r="Q14" s="30"/>
      <c r="R14" s="16" t="str">
        <f t="shared" si="12"/>
        <v/>
      </c>
      <c r="S14" s="16">
        <v>300000</v>
      </c>
      <c r="T14" s="17" t="str">
        <f t="shared" si="13"/>
        <v/>
      </c>
      <c r="U14" s="18">
        <f t="shared" ca="1" si="14"/>
        <v>46326</v>
      </c>
    </row>
    <row r="15" spans="1:26" ht="16.5" x14ac:dyDescent="0.3">
      <c r="A15" s="29"/>
      <c r="B15" s="27">
        <f t="shared" ca="1" si="6"/>
        <v>46296</v>
      </c>
      <c r="C15" s="19" t="str">
        <f>IF(D15="","",INDEX(Clients!B:B,MATCH(D15,Clients!A:A,0)))</f>
        <v>NS-CL-0001</v>
      </c>
      <c r="D15" s="19" t="s">
        <v>9</v>
      </c>
      <c r="E15" s="19"/>
      <c r="F15" s="19"/>
      <c r="G15" s="19"/>
      <c r="H15" s="24"/>
      <c r="I15" s="25" t="str">
        <f>IFERROR(INDEX(Service_Tarifs!$D$2:$D$271,MATCH(F15,Service_Tarifs!$B$2:$B$271,0)),"")</f>
        <v/>
      </c>
      <c r="J15" s="15" t="str">
        <f>IFERROR(INDEX(Service_Tarifs!$F$2:$F$271,MATCH(F15,Service_Tarifs!$B$2:$B$271,0)),"")</f>
        <v/>
      </c>
      <c r="K15" s="16" t="str">
        <f t="shared" si="7"/>
        <v/>
      </c>
      <c r="L15" s="15"/>
      <c r="M15" s="16" t="str">
        <f t="shared" si="8"/>
        <v/>
      </c>
      <c r="N15" s="16" t="str">
        <f t="shared" si="9"/>
        <v/>
      </c>
      <c r="O15" s="16" t="str">
        <f t="shared" si="10"/>
        <v/>
      </c>
      <c r="P15" s="16" t="str">
        <f t="shared" si="11"/>
        <v/>
      </c>
      <c r="Q15" s="30"/>
      <c r="R15" s="16" t="str">
        <f t="shared" si="12"/>
        <v/>
      </c>
      <c r="S15" s="16">
        <v>300000</v>
      </c>
      <c r="T15" s="17" t="str">
        <f t="shared" si="13"/>
        <v/>
      </c>
      <c r="U15" s="18">
        <f t="shared" ca="1" si="14"/>
        <v>46326</v>
      </c>
    </row>
    <row r="16" spans="1:26" ht="16.5" x14ac:dyDescent="0.3">
      <c r="A16" s="29"/>
      <c r="B16" s="27">
        <f t="shared" ca="1" si="6"/>
        <v>46296</v>
      </c>
      <c r="C16" s="19" t="str">
        <f>IF(D16="","",INDEX(Clients!B:B,MATCH(D16,Clients!A:A,0)))</f>
        <v>NS-CL-0001</v>
      </c>
      <c r="D16" s="19" t="s">
        <v>9</v>
      </c>
      <c r="E16" s="19"/>
      <c r="F16" s="19"/>
      <c r="G16" s="19"/>
      <c r="H16" s="24"/>
      <c r="I16" s="25" t="str">
        <f>IFERROR(INDEX(Service_Tarifs!$D$2:$D$271,MATCH(F16,Service_Tarifs!$B$2:$B$271,0)),"")</f>
        <v/>
      </c>
      <c r="J16" s="15" t="str">
        <f>IFERROR(INDEX(Service_Tarifs!$F$2:$F$271,MATCH(F16,Service_Tarifs!$B$2:$B$271,0)),"")</f>
        <v/>
      </c>
      <c r="K16" s="16" t="str">
        <f t="shared" si="7"/>
        <v/>
      </c>
      <c r="L16" s="15"/>
      <c r="M16" s="16" t="str">
        <f t="shared" si="8"/>
        <v/>
      </c>
      <c r="N16" s="16" t="str">
        <f t="shared" si="9"/>
        <v/>
      </c>
      <c r="O16" s="16" t="str">
        <f t="shared" si="10"/>
        <v/>
      </c>
      <c r="P16" s="16" t="str">
        <f t="shared" si="11"/>
        <v/>
      </c>
      <c r="Q16" s="30"/>
      <c r="R16" s="16" t="str">
        <f t="shared" si="12"/>
        <v/>
      </c>
      <c r="S16" s="16">
        <v>300000</v>
      </c>
      <c r="T16" s="17" t="str">
        <f t="shared" si="13"/>
        <v/>
      </c>
      <c r="U16" s="18">
        <f t="shared" ca="1" si="14"/>
        <v>46326</v>
      </c>
    </row>
    <row r="17" spans="1:21" ht="16.5" x14ac:dyDescent="0.3">
      <c r="A17" s="29"/>
      <c r="B17" s="27">
        <f t="shared" ca="1" si="6"/>
        <v>46296</v>
      </c>
      <c r="C17" s="19" t="str">
        <f>IF(D17="","",INDEX(Clients!B:B,MATCH(D17,Clients!A:A,0)))</f>
        <v>NS-CL-0001</v>
      </c>
      <c r="D17" s="19" t="s">
        <v>9</v>
      </c>
      <c r="E17" s="19"/>
      <c r="F17" s="19"/>
      <c r="G17" s="19"/>
      <c r="H17" s="24"/>
      <c r="I17" s="25" t="str">
        <f>IFERROR(INDEX(Service_Tarifs!$D$2:$D$271,MATCH(F17,Service_Tarifs!$B$2:$B$271,0)),"")</f>
        <v/>
      </c>
      <c r="J17" s="15" t="str">
        <f>IFERROR(INDEX(Service_Tarifs!$F$2:$F$271,MATCH(F17,Service_Tarifs!$B$2:$B$271,0)),"")</f>
        <v/>
      </c>
      <c r="K17" s="16" t="str">
        <f t="shared" si="7"/>
        <v/>
      </c>
      <c r="L17" s="15"/>
      <c r="M17" s="16" t="str">
        <f t="shared" si="8"/>
        <v/>
      </c>
      <c r="N17" s="16" t="str">
        <f t="shared" si="9"/>
        <v/>
      </c>
      <c r="O17" s="16" t="str">
        <f t="shared" si="10"/>
        <v/>
      </c>
      <c r="P17" s="16" t="str">
        <f t="shared" si="11"/>
        <v/>
      </c>
      <c r="Q17" s="30"/>
      <c r="R17" s="16" t="str">
        <f t="shared" si="12"/>
        <v/>
      </c>
      <c r="S17" s="16">
        <v>300000</v>
      </c>
      <c r="T17" s="17" t="str">
        <f t="shared" si="13"/>
        <v/>
      </c>
      <c r="U17" s="18">
        <f t="shared" ca="1" si="14"/>
        <v>46326</v>
      </c>
    </row>
    <row r="18" spans="1:21" ht="16.5" x14ac:dyDescent="0.3">
      <c r="A18" s="29"/>
      <c r="B18" s="27">
        <f t="shared" ca="1" si="6"/>
        <v>46296</v>
      </c>
      <c r="C18" s="19" t="str">
        <f>IF(D18="","",INDEX(Clients!B:B,MATCH(D18,Clients!A:A,0)))</f>
        <v>NS-CL-0001</v>
      </c>
      <c r="D18" s="19" t="s">
        <v>9</v>
      </c>
      <c r="E18" s="19"/>
      <c r="F18" s="19"/>
      <c r="G18" s="19"/>
      <c r="H18" s="24"/>
      <c r="I18" s="25" t="str">
        <f>IFERROR(INDEX(Service_Tarifs!$D$2:$D$271,MATCH(F18,Service_Tarifs!$B$2:$B$271,0)),"")</f>
        <v/>
      </c>
      <c r="J18" s="15" t="str">
        <f>IFERROR(INDEX(Service_Tarifs!$F$2:$F$271,MATCH(F18,Service_Tarifs!$B$2:$B$271,0)),"")</f>
        <v/>
      </c>
      <c r="K18" s="16" t="str">
        <f t="shared" si="7"/>
        <v/>
      </c>
      <c r="L18" s="15"/>
      <c r="M18" s="16" t="str">
        <f t="shared" si="8"/>
        <v/>
      </c>
      <c r="N18" s="16" t="str">
        <f t="shared" si="9"/>
        <v/>
      </c>
      <c r="O18" s="16" t="str">
        <f t="shared" si="10"/>
        <v/>
      </c>
      <c r="P18" s="16" t="str">
        <f t="shared" si="11"/>
        <v/>
      </c>
      <c r="Q18" s="30"/>
      <c r="R18" s="16" t="str">
        <f t="shared" si="12"/>
        <v/>
      </c>
      <c r="S18" s="16">
        <v>300000</v>
      </c>
      <c r="T18" s="17" t="str">
        <f t="shared" si="13"/>
        <v/>
      </c>
      <c r="U18" s="18">
        <f t="shared" ca="1" si="14"/>
        <v>46326</v>
      </c>
    </row>
    <row r="19" spans="1:21" ht="16.5" x14ac:dyDescent="0.3">
      <c r="A19" s="29"/>
      <c r="B19" s="27">
        <f t="shared" ca="1" si="6"/>
        <v>46296</v>
      </c>
      <c r="C19" s="19" t="str">
        <f>IF(D19="","",INDEX(Clients!B:B,MATCH(D19,Clients!A:A,0)))</f>
        <v>NS-CL-0001</v>
      </c>
      <c r="D19" s="19" t="s">
        <v>9</v>
      </c>
      <c r="E19" s="19"/>
      <c r="F19" s="19"/>
      <c r="G19" s="19"/>
      <c r="H19" s="24"/>
      <c r="I19" s="25" t="str">
        <f>IFERROR(INDEX(Service_Tarifs!$D$2:$D$271,MATCH(F19,Service_Tarifs!$B$2:$B$271,0)),"")</f>
        <v/>
      </c>
      <c r="J19" s="15" t="str">
        <f>IFERROR(INDEX(Service_Tarifs!$F$2:$F$271,MATCH(F19,Service_Tarifs!$B$2:$B$271,0)),"")</f>
        <v/>
      </c>
      <c r="K19" s="16" t="str">
        <f t="shared" si="7"/>
        <v/>
      </c>
      <c r="L19" s="15"/>
      <c r="M19" s="16" t="str">
        <f t="shared" si="8"/>
        <v/>
      </c>
      <c r="N19" s="16" t="str">
        <f t="shared" si="9"/>
        <v/>
      </c>
      <c r="O19" s="16" t="str">
        <f t="shared" si="10"/>
        <v/>
      </c>
      <c r="P19" s="16" t="str">
        <f t="shared" si="11"/>
        <v/>
      </c>
      <c r="Q19" s="30"/>
      <c r="R19" s="16" t="str">
        <f t="shared" si="12"/>
        <v/>
      </c>
      <c r="S19" s="16">
        <v>300000</v>
      </c>
      <c r="T19" s="17" t="str">
        <f t="shared" si="13"/>
        <v/>
      </c>
      <c r="U19" s="18">
        <f t="shared" ca="1" si="14"/>
        <v>46326</v>
      </c>
    </row>
    <row r="20" spans="1:21" ht="16.5" x14ac:dyDescent="0.3">
      <c r="A20" s="29"/>
      <c r="B20" s="27">
        <f t="shared" ca="1" si="6"/>
        <v>46296</v>
      </c>
      <c r="C20" s="19" t="str">
        <f>IF(D20="","",INDEX(Clients!B:B,MATCH(D20,Clients!A:A,0)))</f>
        <v>NS-CL-0001</v>
      </c>
      <c r="D20" s="19" t="s">
        <v>9</v>
      </c>
      <c r="E20" s="19"/>
      <c r="F20" s="19"/>
      <c r="G20" s="19"/>
      <c r="H20" s="24"/>
      <c r="I20" s="25" t="str">
        <f>IFERROR(INDEX(Service_Tarifs!$D$2:$D$271,MATCH(F20,Service_Tarifs!$B$2:$B$271,0)),"")</f>
        <v/>
      </c>
      <c r="J20" s="15" t="str">
        <f>IFERROR(INDEX(Service_Tarifs!$F$2:$F$271,MATCH(F20,Service_Tarifs!$B$2:$B$271,0)),"")</f>
        <v/>
      </c>
      <c r="K20" s="16" t="str">
        <f t="shared" si="7"/>
        <v/>
      </c>
      <c r="L20" s="15"/>
      <c r="M20" s="16" t="str">
        <f t="shared" si="8"/>
        <v/>
      </c>
      <c r="N20" s="16" t="str">
        <f t="shared" si="9"/>
        <v/>
      </c>
      <c r="O20" s="16" t="str">
        <f t="shared" si="10"/>
        <v/>
      </c>
      <c r="P20" s="16" t="str">
        <f t="shared" si="11"/>
        <v/>
      </c>
      <c r="Q20" s="30"/>
      <c r="R20" s="16" t="str">
        <f t="shared" si="12"/>
        <v/>
      </c>
      <c r="S20" s="16">
        <v>300000</v>
      </c>
      <c r="T20" s="17" t="str">
        <f t="shared" si="13"/>
        <v/>
      </c>
      <c r="U20" s="18">
        <f t="shared" ca="1" si="14"/>
        <v>46326</v>
      </c>
    </row>
    <row r="21" spans="1:21" ht="16.5" x14ac:dyDescent="0.3">
      <c r="A21" s="29"/>
      <c r="B21" s="27">
        <f t="shared" ca="1" si="6"/>
        <v>46296</v>
      </c>
      <c r="C21" s="19" t="str">
        <f>IF(D21="","",INDEX(Clients!B:B,MATCH(D21,Clients!A:A,0)))</f>
        <v>NS-CL-0001</v>
      </c>
      <c r="D21" s="19" t="s">
        <v>9</v>
      </c>
      <c r="E21" s="19"/>
      <c r="F21" s="19"/>
      <c r="G21" s="19"/>
      <c r="H21" s="24"/>
      <c r="I21" s="25" t="str">
        <f>IFERROR(INDEX(Service_Tarifs!$D$2:$D$271,MATCH(F21,Service_Tarifs!$B$2:$B$271,0)),"")</f>
        <v/>
      </c>
      <c r="J21" s="15" t="str">
        <f>IFERROR(INDEX(Service_Tarifs!$F$2:$F$271,MATCH(F21,Service_Tarifs!$B$2:$B$271,0)),"")</f>
        <v/>
      </c>
      <c r="K21" s="16" t="str">
        <f t="shared" si="7"/>
        <v/>
      </c>
      <c r="L21" s="15"/>
      <c r="M21" s="16" t="str">
        <f t="shared" si="8"/>
        <v/>
      </c>
      <c r="N21" s="16" t="str">
        <f t="shared" si="9"/>
        <v/>
      </c>
      <c r="O21" s="16" t="str">
        <f t="shared" si="10"/>
        <v/>
      </c>
      <c r="P21" s="16" t="str">
        <f t="shared" si="11"/>
        <v/>
      </c>
      <c r="Q21" s="30"/>
      <c r="R21" s="16" t="str">
        <f t="shared" si="12"/>
        <v/>
      </c>
      <c r="S21" s="16">
        <v>300000</v>
      </c>
      <c r="T21" s="17" t="str">
        <f t="shared" si="13"/>
        <v/>
      </c>
      <c r="U21" s="18">
        <f t="shared" ca="1" si="14"/>
        <v>46326</v>
      </c>
    </row>
    <row r="22" spans="1:21" ht="16.5" x14ac:dyDescent="0.3">
      <c r="A22" s="29"/>
      <c r="B22" s="27">
        <f t="shared" ca="1" si="6"/>
        <v>46296</v>
      </c>
      <c r="C22" s="19" t="str">
        <f>IF(D22="","",INDEX(Clients!B:B,MATCH(D22,Clients!A:A,0)))</f>
        <v>NS-CL-0001</v>
      </c>
      <c r="D22" s="19" t="s">
        <v>9</v>
      </c>
      <c r="E22" s="19"/>
      <c r="F22" s="19"/>
      <c r="G22" s="19"/>
      <c r="H22" s="24"/>
      <c r="I22" s="25" t="str">
        <f>IFERROR(INDEX(Service_Tarifs!$D$2:$D$271,MATCH(F22,Service_Tarifs!$B$2:$B$271,0)),"")</f>
        <v/>
      </c>
      <c r="J22" s="15" t="str">
        <f>IFERROR(INDEX(Service_Tarifs!$F$2:$F$271,MATCH(F22,Service_Tarifs!$B$2:$B$271,0)),"")</f>
        <v/>
      </c>
      <c r="K22" s="16" t="str">
        <f t="shared" si="7"/>
        <v/>
      </c>
      <c r="L22" s="15"/>
      <c r="M22" s="16" t="str">
        <f t="shared" si="8"/>
        <v/>
      </c>
      <c r="N22" s="16" t="str">
        <f t="shared" si="9"/>
        <v/>
      </c>
      <c r="O22" s="16" t="str">
        <f t="shared" si="10"/>
        <v/>
      </c>
      <c r="P22" s="16" t="str">
        <f t="shared" si="11"/>
        <v/>
      </c>
      <c r="Q22" s="30"/>
      <c r="R22" s="16" t="str">
        <f t="shared" si="12"/>
        <v/>
      </c>
      <c r="S22" s="16">
        <v>300000</v>
      </c>
      <c r="T22" s="17" t="str">
        <f t="shared" si="13"/>
        <v/>
      </c>
      <c r="U22" s="18">
        <f t="shared" ca="1" si="14"/>
        <v>46326</v>
      </c>
    </row>
    <row r="23" spans="1:21" ht="16.5" x14ac:dyDescent="0.3">
      <c r="A23" s="29"/>
      <c r="B23" s="27">
        <f t="shared" ca="1" si="6"/>
        <v>46296</v>
      </c>
      <c r="C23" s="19" t="str">
        <f>IF(D23="","",INDEX(Clients!B:B,MATCH(D23,Clients!A:A,0)))</f>
        <v>NS-CL-0001</v>
      </c>
      <c r="D23" s="19" t="s">
        <v>9</v>
      </c>
      <c r="E23" s="19"/>
      <c r="F23" s="19"/>
      <c r="G23" s="19"/>
      <c r="H23" s="24"/>
      <c r="I23" s="25" t="str">
        <f>IFERROR(INDEX(Service_Tarifs!$D$2:$D$271,MATCH(F23,Service_Tarifs!$B$2:$B$271,0)),"")</f>
        <v/>
      </c>
      <c r="J23" s="15" t="str">
        <f>IFERROR(INDEX(Service_Tarifs!$F$2:$F$271,MATCH(F23,Service_Tarifs!$B$2:$B$271,0)),"")</f>
        <v/>
      </c>
      <c r="K23" s="16" t="str">
        <f t="shared" si="7"/>
        <v/>
      </c>
      <c r="L23" s="15"/>
      <c r="M23" s="16" t="str">
        <f t="shared" si="8"/>
        <v/>
      </c>
      <c r="N23" s="16" t="str">
        <f t="shared" si="9"/>
        <v/>
      </c>
      <c r="O23" s="16" t="str">
        <f t="shared" si="10"/>
        <v/>
      </c>
      <c r="P23" s="16" t="str">
        <f t="shared" si="11"/>
        <v/>
      </c>
      <c r="Q23" s="30"/>
      <c r="R23" s="16" t="str">
        <f t="shared" si="12"/>
        <v/>
      </c>
      <c r="S23" s="16">
        <v>300000</v>
      </c>
      <c r="T23" s="17" t="str">
        <f t="shared" si="13"/>
        <v/>
      </c>
      <c r="U23" s="18">
        <f t="shared" ca="1" si="14"/>
        <v>46326</v>
      </c>
    </row>
    <row r="24" spans="1:21" ht="16.5" x14ac:dyDescent="0.3">
      <c r="A24" s="29"/>
      <c r="B24" s="27">
        <f t="shared" ca="1" si="6"/>
        <v>46296</v>
      </c>
      <c r="C24" s="19" t="str">
        <f>IF(D24="","",INDEX(Clients!B:B,MATCH(D24,Clients!A:A,0)))</f>
        <v>NS-CL-0001</v>
      </c>
      <c r="D24" s="19" t="s">
        <v>9</v>
      </c>
      <c r="E24" s="19"/>
      <c r="F24" s="19"/>
      <c r="G24" s="19"/>
      <c r="H24" s="24"/>
      <c r="I24" s="25" t="str">
        <f>IFERROR(INDEX(Service_Tarifs!$D$2:$D$271,MATCH(F24,Service_Tarifs!$B$2:$B$271,0)),"")</f>
        <v/>
      </c>
      <c r="J24" s="15" t="str">
        <f>IFERROR(INDEX(Service_Tarifs!$F$2:$F$271,MATCH(F24,Service_Tarifs!$B$2:$B$271,0)),"")</f>
        <v/>
      </c>
      <c r="K24" s="16" t="str">
        <f t="shared" si="7"/>
        <v/>
      </c>
      <c r="L24" s="15"/>
      <c r="M24" s="16" t="str">
        <f t="shared" si="8"/>
        <v/>
      </c>
      <c r="N24" s="16" t="str">
        <f t="shared" si="9"/>
        <v/>
      </c>
      <c r="O24" s="16" t="str">
        <f t="shared" si="10"/>
        <v/>
      </c>
      <c r="P24" s="16" t="str">
        <f t="shared" si="11"/>
        <v/>
      </c>
      <c r="Q24" s="30"/>
      <c r="R24" s="16" t="str">
        <f t="shared" si="12"/>
        <v/>
      </c>
      <c r="S24" s="16">
        <v>300000</v>
      </c>
      <c r="T24" s="17" t="str">
        <f t="shared" si="13"/>
        <v/>
      </c>
      <c r="U24" s="18">
        <f t="shared" ca="1" si="14"/>
        <v>46326</v>
      </c>
    </row>
    <row r="25" spans="1:21" ht="16.5" x14ac:dyDescent="0.3">
      <c r="A25" s="29"/>
      <c r="B25" s="27">
        <f t="shared" ca="1" si="6"/>
        <v>46296</v>
      </c>
      <c r="C25" s="19" t="str">
        <f>IF(D25="","",INDEX(Clients!B:B,MATCH(D25,Clients!A:A,0)))</f>
        <v>NS-CL-0001</v>
      </c>
      <c r="D25" s="19" t="s">
        <v>9</v>
      </c>
      <c r="E25" s="19"/>
      <c r="F25" s="19"/>
      <c r="G25" s="19"/>
      <c r="H25" s="24"/>
      <c r="I25" s="25" t="str">
        <f>IFERROR(INDEX(Service_Tarifs!$D$2:$D$271,MATCH(F25,Service_Tarifs!$B$2:$B$271,0)),"")</f>
        <v/>
      </c>
      <c r="J25" s="15" t="str">
        <f>IFERROR(INDEX(Service_Tarifs!$F$2:$F$271,MATCH(F25,Service_Tarifs!$B$2:$B$271,0)),"")</f>
        <v/>
      </c>
      <c r="K25" s="16" t="str">
        <f t="shared" si="7"/>
        <v/>
      </c>
      <c r="L25" s="15"/>
      <c r="M25" s="16" t="str">
        <f t="shared" si="8"/>
        <v/>
      </c>
      <c r="N25" s="16" t="str">
        <f t="shared" si="9"/>
        <v/>
      </c>
      <c r="O25" s="16" t="str">
        <f t="shared" si="10"/>
        <v/>
      </c>
      <c r="P25" s="16" t="str">
        <f t="shared" si="11"/>
        <v/>
      </c>
      <c r="Q25" s="30"/>
      <c r="R25" s="16" t="str">
        <f t="shared" si="12"/>
        <v/>
      </c>
      <c r="S25" s="16">
        <v>300000</v>
      </c>
      <c r="T25" s="17" t="str">
        <f t="shared" si="13"/>
        <v/>
      </c>
      <c r="U25" s="18">
        <f t="shared" ca="1" si="14"/>
        <v>46326</v>
      </c>
    </row>
    <row r="26" spans="1:21" ht="16.5" x14ac:dyDescent="0.3">
      <c r="A26" s="29"/>
      <c r="B26" s="27">
        <f t="shared" ca="1" si="6"/>
        <v>46296</v>
      </c>
      <c r="C26" s="19" t="str">
        <f>IF(D26="","",INDEX(Clients!B:B,MATCH(D26,Clients!A:A,0)))</f>
        <v>NS-CL-0001</v>
      </c>
      <c r="D26" s="19" t="s">
        <v>9</v>
      </c>
      <c r="E26" s="19"/>
      <c r="F26" s="19"/>
      <c r="G26" s="19"/>
      <c r="H26" s="24"/>
      <c r="I26" s="25" t="str">
        <f>IFERROR(INDEX(Service_Tarifs!$D$2:$D$271,MATCH(F26,Service_Tarifs!$B$2:$B$271,0)),"")</f>
        <v/>
      </c>
      <c r="J26" s="15" t="str">
        <f>IFERROR(INDEX(Service_Tarifs!$F$2:$F$271,MATCH(F26,Service_Tarifs!$B$2:$B$271,0)),"")</f>
        <v/>
      </c>
      <c r="K26" s="16" t="str">
        <f t="shared" si="7"/>
        <v/>
      </c>
      <c r="L26" s="15"/>
      <c r="M26" s="16" t="str">
        <f t="shared" si="8"/>
        <v/>
      </c>
      <c r="N26" s="16" t="str">
        <f t="shared" si="9"/>
        <v/>
      </c>
      <c r="O26" s="16" t="str">
        <f t="shared" si="10"/>
        <v/>
      </c>
      <c r="P26" s="16" t="str">
        <f t="shared" si="11"/>
        <v/>
      </c>
      <c r="Q26" s="30"/>
      <c r="R26" s="16" t="str">
        <f t="shared" si="12"/>
        <v/>
      </c>
      <c r="S26" s="16">
        <v>300000</v>
      </c>
      <c r="T26" s="17" t="str">
        <f t="shared" si="13"/>
        <v/>
      </c>
      <c r="U26" s="18">
        <f t="shared" ca="1" si="14"/>
        <v>46326</v>
      </c>
    </row>
    <row r="27" spans="1:21" ht="16.5" x14ac:dyDescent="0.3">
      <c r="A27" s="29"/>
      <c r="B27" s="27">
        <f t="shared" ca="1" si="6"/>
        <v>46296</v>
      </c>
      <c r="C27" s="19" t="str">
        <f>IF(D27="","",INDEX(Clients!B:B,MATCH(D27,Clients!A:A,0)))</f>
        <v>NS-CL-0001</v>
      </c>
      <c r="D27" s="19" t="s">
        <v>9</v>
      </c>
      <c r="E27" s="19"/>
      <c r="F27" s="19"/>
      <c r="G27" s="19"/>
      <c r="H27" s="24"/>
      <c r="I27" s="25" t="str">
        <f>IFERROR(INDEX(Service_Tarifs!$D$2:$D$271,MATCH(F27,Service_Tarifs!$B$2:$B$271,0)),"")</f>
        <v/>
      </c>
      <c r="J27" s="15" t="str">
        <f>IFERROR(INDEX(Service_Tarifs!$F$2:$F$271,MATCH(F27,Service_Tarifs!$B$2:$B$271,0)),"")</f>
        <v/>
      </c>
      <c r="K27" s="16" t="str">
        <f t="shared" si="7"/>
        <v/>
      </c>
      <c r="L27" s="15"/>
      <c r="M27" s="16" t="str">
        <f t="shared" si="8"/>
        <v/>
      </c>
      <c r="N27" s="16" t="str">
        <f t="shared" si="9"/>
        <v/>
      </c>
      <c r="O27" s="16" t="str">
        <f t="shared" si="10"/>
        <v/>
      </c>
      <c r="P27" s="16" t="str">
        <f t="shared" si="11"/>
        <v/>
      </c>
      <c r="Q27" s="30"/>
      <c r="R27" s="16" t="str">
        <f t="shared" si="12"/>
        <v/>
      </c>
      <c r="S27" s="16">
        <v>300000</v>
      </c>
      <c r="T27" s="17" t="str">
        <f t="shared" si="13"/>
        <v/>
      </c>
      <c r="U27" s="18">
        <f t="shared" ca="1" si="14"/>
        <v>46326</v>
      </c>
    </row>
    <row r="28" spans="1:21" ht="16.5" x14ac:dyDescent="0.3">
      <c r="A28" s="29"/>
      <c r="B28" s="27">
        <f t="shared" ca="1" si="6"/>
        <v>46296</v>
      </c>
      <c r="C28" s="19" t="str">
        <f>IF(D28="","",INDEX(Clients!B:B,MATCH(D28,Clients!A:A,0)))</f>
        <v>NS-CL-0001</v>
      </c>
      <c r="D28" s="19" t="s">
        <v>9</v>
      </c>
      <c r="E28" s="19"/>
      <c r="F28" s="19"/>
      <c r="G28" s="19"/>
      <c r="H28" s="24"/>
      <c r="I28" s="25" t="str">
        <f>IFERROR(INDEX(Service_Tarifs!$D$2:$D$271,MATCH(F28,Service_Tarifs!$B$2:$B$271,0)),"")</f>
        <v/>
      </c>
      <c r="J28" s="15" t="str">
        <f>IFERROR(INDEX(Service_Tarifs!$F$2:$F$271,MATCH(F28,Service_Tarifs!$B$2:$B$271,0)),"")</f>
        <v/>
      </c>
      <c r="K28" s="16" t="str">
        <f t="shared" si="7"/>
        <v/>
      </c>
      <c r="L28" s="15"/>
      <c r="M28" s="16" t="str">
        <f t="shared" si="8"/>
        <v/>
      </c>
      <c r="N28" s="16" t="str">
        <f t="shared" si="9"/>
        <v/>
      </c>
      <c r="O28" s="16" t="str">
        <f t="shared" si="10"/>
        <v/>
      </c>
      <c r="P28" s="16" t="str">
        <f t="shared" si="11"/>
        <v/>
      </c>
      <c r="Q28" s="30"/>
      <c r="R28" s="16" t="str">
        <f t="shared" si="12"/>
        <v/>
      </c>
      <c r="S28" s="16">
        <v>300000</v>
      </c>
      <c r="T28" s="17" t="str">
        <f t="shared" si="13"/>
        <v/>
      </c>
      <c r="U28" s="18">
        <f t="shared" ca="1" si="14"/>
        <v>46326</v>
      </c>
    </row>
    <row r="29" spans="1:21" ht="16.5" x14ac:dyDescent="0.3">
      <c r="A29" s="29"/>
      <c r="B29" s="27">
        <f t="shared" ca="1" si="6"/>
        <v>46296</v>
      </c>
      <c r="C29" s="19" t="str">
        <f>IF(D29="","",INDEX(Clients!B:B,MATCH(D29,Clients!A:A,0)))</f>
        <v>NS-CL-0001</v>
      </c>
      <c r="D29" s="19" t="s">
        <v>9</v>
      </c>
      <c r="E29" s="19"/>
      <c r="F29" s="19"/>
      <c r="G29" s="19"/>
      <c r="H29" s="24"/>
      <c r="I29" s="25" t="str">
        <f>IFERROR(INDEX(Service_Tarifs!$D$2:$D$271,MATCH(F29,Service_Tarifs!$B$2:$B$271,0)),"")</f>
        <v/>
      </c>
      <c r="J29" s="15" t="str">
        <f>IFERROR(INDEX(Service_Tarifs!$F$2:$F$271,MATCH(F29,Service_Tarifs!$B$2:$B$271,0)),"")</f>
        <v/>
      </c>
      <c r="K29" s="16" t="str">
        <f t="shared" si="7"/>
        <v/>
      </c>
      <c r="L29" s="15"/>
      <c r="M29" s="16" t="str">
        <f t="shared" si="8"/>
        <v/>
      </c>
      <c r="N29" s="16" t="str">
        <f t="shared" si="9"/>
        <v/>
      </c>
      <c r="O29" s="16" t="str">
        <f t="shared" si="10"/>
        <v/>
      </c>
      <c r="P29" s="16" t="str">
        <f t="shared" si="11"/>
        <v/>
      </c>
      <c r="Q29" s="30"/>
      <c r="R29" s="16" t="str">
        <f t="shared" si="12"/>
        <v/>
      </c>
      <c r="S29" s="16">
        <v>300000</v>
      </c>
      <c r="T29" s="17" t="str">
        <f t="shared" si="13"/>
        <v/>
      </c>
      <c r="U29" s="18">
        <f t="shared" ca="1" si="14"/>
        <v>46326</v>
      </c>
    </row>
    <row r="30" spans="1:21" ht="16.5" x14ac:dyDescent="0.3">
      <c r="A30" s="29"/>
      <c r="B30" s="27">
        <f t="shared" ca="1" si="6"/>
        <v>46296</v>
      </c>
      <c r="C30" s="19" t="str">
        <f>IF(D30="","",INDEX(Clients!B:B,MATCH(D30,Clients!A:A,0)))</f>
        <v>NS-CL-0001</v>
      </c>
      <c r="D30" s="19" t="s">
        <v>9</v>
      </c>
      <c r="E30" s="19"/>
      <c r="F30" s="19"/>
      <c r="G30" s="19"/>
      <c r="H30" s="24"/>
      <c r="I30" s="25" t="str">
        <f>IFERROR(INDEX(Service_Tarifs!$D$2:$D$271,MATCH(F30,Service_Tarifs!$B$2:$B$271,0)),"")</f>
        <v/>
      </c>
      <c r="J30" s="15" t="str">
        <f>IFERROR(INDEX(Service_Tarifs!$F$2:$F$271,MATCH(F30,Service_Tarifs!$B$2:$B$271,0)),"")</f>
        <v/>
      </c>
      <c r="K30" s="16" t="str">
        <f t="shared" si="7"/>
        <v/>
      </c>
      <c r="L30" s="15"/>
      <c r="M30" s="16" t="str">
        <f t="shared" si="8"/>
        <v/>
      </c>
      <c r="N30" s="16" t="str">
        <f t="shared" si="9"/>
        <v/>
      </c>
      <c r="O30" s="16" t="str">
        <f t="shared" si="10"/>
        <v/>
      </c>
      <c r="P30" s="16" t="str">
        <f t="shared" si="11"/>
        <v/>
      </c>
      <c r="Q30" s="30"/>
      <c r="R30" s="16" t="str">
        <f t="shared" si="12"/>
        <v/>
      </c>
      <c r="S30" s="16">
        <v>300000</v>
      </c>
      <c r="T30" s="17" t="str">
        <f t="shared" si="13"/>
        <v/>
      </c>
      <c r="U30" s="18">
        <f t="shared" ca="1" si="14"/>
        <v>46326</v>
      </c>
    </row>
    <row r="31" spans="1:21" ht="16.5" x14ac:dyDescent="0.3">
      <c r="A31" s="29"/>
      <c r="B31" s="27">
        <f t="shared" ca="1" si="6"/>
        <v>46296</v>
      </c>
      <c r="C31" s="19" t="str">
        <f>IF(D31="","",INDEX(Clients!B:B,MATCH(D31,Clients!A:A,0)))</f>
        <v>NS-CL-0001</v>
      </c>
      <c r="D31" s="19" t="s">
        <v>9</v>
      </c>
      <c r="E31" s="19"/>
      <c r="F31" s="19"/>
      <c r="G31" s="19"/>
      <c r="H31" s="24"/>
      <c r="I31" s="25" t="str">
        <f>IFERROR(INDEX(Service_Tarifs!$D$2:$D$271,MATCH(F31,Service_Tarifs!$B$2:$B$271,0)),"")</f>
        <v/>
      </c>
      <c r="J31" s="15" t="str">
        <f>IFERROR(INDEX(Service_Tarifs!$F$2:$F$271,MATCH(F31,Service_Tarifs!$B$2:$B$271,0)),"")</f>
        <v/>
      </c>
      <c r="K31" s="16" t="str">
        <f t="shared" si="7"/>
        <v/>
      </c>
      <c r="L31" s="15"/>
      <c r="M31" s="16" t="str">
        <f t="shared" si="8"/>
        <v/>
      </c>
      <c r="N31" s="16" t="str">
        <f t="shared" si="9"/>
        <v/>
      </c>
      <c r="O31" s="16" t="str">
        <f t="shared" si="10"/>
        <v/>
      </c>
      <c r="P31" s="16" t="str">
        <f t="shared" si="11"/>
        <v/>
      </c>
      <c r="Q31" s="30"/>
      <c r="R31" s="16" t="str">
        <f t="shared" si="12"/>
        <v/>
      </c>
      <c r="S31" s="16">
        <v>300000</v>
      </c>
      <c r="T31" s="17" t="str">
        <f t="shared" si="13"/>
        <v/>
      </c>
      <c r="U31" s="18">
        <f t="shared" ca="1" si="14"/>
        <v>46326</v>
      </c>
    </row>
    <row r="32" spans="1:21" ht="16.5" x14ac:dyDescent="0.3">
      <c r="A32" s="29"/>
      <c r="B32" s="27">
        <f t="shared" ca="1" si="6"/>
        <v>46296</v>
      </c>
      <c r="C32" s="19" t="str">
        <f>IF(D32="","",INDEX(Clients!B:B,MATCH(D32,Clients!A:A,0)))</f>
        <v>NS-CL-0001</v>
      </c>
      <c r="D32" s="19" t="s">
        <v>9</v>
      </c>
      <c r="E32" s="19"/>
      <c r="F32" s="19"/>
      <c r="G32" s="19"/>
      <c r="H32" s="24"/>
      <c r="I32" s="25" t="str">
        <f>IFERROR(INDEX(Service_Tarifs!$D$2:$D$271,MATCH(F32,Service_Tarifs!$B$2:$B$271,0)),"")</f>
        <v/>
      </c>
      <c r="J32" s="15" t="str">
        <f>IFERROR(INDEX(Service_Tarifs!$F$2:$F$271,MATCH(F32,Service_Tarifs!$B$2:$B$271,0)),"")</f>
        <v/>
      </c>
      <c r="K32" s="16" t="str">
        <f t="shared" si="7"/>
        <v/>
      </c>
      <c r="L32" s="15"/>
      <c r="M32" s="16" t="str">
        <f t="shared" si="8"/>
        <v/>
      </c>
      <c r="N32" s="16" t="str">
        <f t="shared" si="9"/>
        <v/>
      </c>
      <c r="O32" s="16" t="str">
        <f t="shared" si="10"/>
        <v/>
      </c>
      <c r="P32" s="16" t="str">
        <f t="shared" si="11"/>
        <v/>
      </c>
      <c r="Q32" s="30"/>
      <c r="R32" s="16" t="str">
        <f t="shared" si="12"/>
        <v/>
      </c>
      <c r="S32" s="16">
        <v>300000</v>
      </c>
      <c r="T32" s="17" t="str">
        <f t="shared" si="13"/>
        <v/>
      </c>
      <c r="U32" s="18">
        <f t="shared" ca="1" si="14"/>
        <v>46326</v>
      </c>
    </row>
    <row r="33" spans="1:21" ht="16.5" x14ac:dyDescent="0.3">
      <c r="A33" s="29"/>
      <c r="B33" s="27">
        <f t="shared" ca="1" si="6"/>
        <v>46296</v>
      </c>
      <c r="C33" s="19" t="str">
        <f>IF(D33="","",INDEX(Clients!B:B,MATCH(D33,Clients!A:A,0)))</f>
        <v>NS-CL-0001</v>
      </c>
      <c r="D33" s="19" t="s">
        <v>9</v>
      </c>
      <c r="E33" s="19"/>
      <c r="F33" s="19"/>
      <c r="G33" s="19"/>
      <c r="H33" s="24"/>
      <c r="I33" s="25" t="str">
        <f>IFERROR(INDEX(Service_Tarifs!$D$2:$D$271,MATCH(F33,Service_Tarifs!$B$2:$B$271,0)),"")</f>
        <v/>
      </c>
      <c r="J33" s="15" t="str">
        <f>IFERROR(INDEX(Service_Tarifs!$F$2:$F$271,MATCH(F33,Service_Tarifs!$B$2:$B$271,0)),"")</f>
        <v/>
      </c>
      <c r="K33" s="16" t="str">
        <f t="shared" si="7"/>
        <v/>
      </c>
      <c r="L33" s="15"/>
      <c r="M33" s="16" t="str">
        <f t="shared" si="8"/>
        <v/>
      </c>
      <c r="N33" s="16" t="str">
        <f t="shared" si="9"/>
        <v/>
      </c>
      <c r="O33" s="16" t="str">
        <f t="shared" si="10"/>
        <v/>
      </c>
      <c r="P33" s="16" t="str">
        <f t="shared" si="11"/>
        <v/>
      </c>
      <c r="Q33" s="30"/>
      <c r="R33" s="16" t="str">
        <f t="shared" si="12"/>
        <v/>
      </c>
      <c r="S33" s="16">
        <v>300000</v>
      </c>
      <c r="T33" s="17" t="str">
        <f t="shared" si="13"/>
        <v/>
      </c>
      <c r="U33" s="18">
        <f t="shared" ca="1" si="14"/>
        <v>46326</v>
      </c>
    </row>
    <row r="34" spans="1:21" ht="16.5" x14ac:dyDescent="0.3">
      <c r="A34" s="29"/>
      <c r="B34" s="27">
        <f t="shared" ca="1" si="6"/>
        <v>46296</v>
      </c>
      <c r="C34" s="19" t="str">
        <f>IF(D34="","",INDEX(Clients!B:B,MATCH(D34,Clients!A:A,0)))</f>
        <v>NS-CL-0001</v>
      </c>
      <c r="D34" s="19" t="s">
        <v>9</v>
      </c>
      <c r="E34" s="19"/>
      <c r="F34" s="19"/>
      <c r="G34" s="19"/>
      <c r="H34" s="24"/>
      <c r="I34" s="25" t="str">
        <f>IFERROR(INDEX(Service_Tarifs!$D$2:$D$271,MATCH(F34,Service_Tarifs!$B$2:$B$271,0)),"")</f>
        <v/>
      </c>
      <c r="J34" s="15" t="str">
        <f>IFERROR(INDEX(Service_Tarifs!$F$2:$F$271,MATCH(F34,Service_Tarifs!$B$2:$B$271,0)),"")</f>
        <v/>
      </c>
      <c r="K34" s="16" t="str">
        <f t="shared" si="7"/>
        <v/>
      </c>
      <c r="L34" s="15"/>
      <c r="M34" s="16" t="str">
        <f t="shared" si="8"/>
        <v/>
      </c>
      <c r="N34" s="16" t="str">
        <f t="shared" si="9"/>
        <v/>
      </c>
      <c r="O34" s="16" t="str">
        <f t="shared" si="10"/>
        <v/>
      </c>
      <c r="P34" s="16" t="str">
        <f t="shared" si="11"/>
        <v/>
      </c>
      <c r="Q34" s="30"/>
      <c r="R34" s="16" t="str">
        <f t="shared" si="12"/>
        <v/>
      </c>
      <c r="S34" s="16">
        <v>300000</v>
      </c>
      <c r="T34" s="17" t="str">
        <f t="shared" si="13"/>
        <v/>
      </c>
      <c r="U34" s="18">
        <f t="shared" ca="1" si="14"/>
        <v>46326</v>
      </c>
    </row>
    <row r="35" spans="1:21" ht="16.5" x14ac:dyDescent="0.3">
      <c r="A35" s="29"/>
      <c r="B35" s="27">
        <f t="shared" ca="1" si="6"/>
        <v>46296</v>
      </c>
      <c r="C35" s="19" t="str">
        <f>IF(D35="","",INDEX(Clients!B:B,MATCH(D35,Clients!A:A,0)))</f>
        <v>NS-CL-0001</v>
      </c>
      <c r="D35" s="19" t="s">
        <v>9</v>
      </c>
      <c r="E35" s="19"/>
      <c r="F35" s="19"/>
      <c r="G35" s="19"/>
      <c r="H35" s="24"/>
      <c r="I35" s="25" t="str">
        <f>IFERROR(INDEX(Service_Tarifs!$D$2:$D$271,MATCH(F35,Service_Tarifs!$B$2:$B$271,0)),"")</f>
        <v/>
      </c>
      <c r="J35" s="15" t="str">
        <f>IFERROR(INDEX(Service_Tarifs!$F$2:$F$271,MATCH(F35,Service_Tarifs!$B$2:$B$271,0)),"")</f>
        <v/>
      </c>
      <c r="K35" s="16" t="str">
        <f t="shared" si="7"/>
        <v/>
      </c>
      <c r="L35" s="15"/>
      <c r="M35" s="16" t="str">
        <f t="shared" si="8"/>
        <v/>
      </c>
      <c r="N35" s="16" t="str">
        <f t="shared" si="9"/>
        <v/>
      </c>
      <c r="O35" s="16" t="str">
        <f t="shared" si="10"/>
        <v/>
      </c>
      <c r="P35" s="16" t="str">
        <f t="shared" si="11"/>
        <v/>
      </c>
      <c r="Q35" s="30"/>
      <c r="R35" s="16" t="str">
        <f t="shared" si="12"/>
        <v/>
      </c>
      <c r="S35" s="16">
        <v>300000</v>
      </c>
      <c r="T35" s="17" t="str">
        <f t="shared" si="13"/>
        <v/>
      </c>
      <c r="U35" s="18">
        <f t="shared" ca="1" si="14"/>
        <v>46326</v>
      </c>
    </row>
    <row r="36" spans="1:21" ht="16.5" x14ac:dyDescent="0.3">
      <c r="A36" s="29"/>
      <c r="B36" s="27">
        <f t="shared" ca="1" si="6"/>
        <v>46296</v>
      </c>
      <c r="C36" s="19" t="str">
        <f>IF(D36="","",INDEX(Clients!B:B,MATCH(D36,Clients!A:A,0)))</f>
        <v>NS-CL-0001</v>
      </c>
      <c r="D36" s="19" t="s">
        <v>9</v>
      </c>
      <c r="E36" s="19"/>
      <c r="F36" s="19"/>
      <c r="G36" s="19"/>
      <c r="H36" s="24"/>
      <c r="I36" s="25" t="str">
        <f>IFERROR(INDEX(Service_Tarifs!$D$2:$D$271,MATCH(F36,Service_Tarifs!$B$2:$B$271,0)),"")</f>
        <v/>
      </c>
      <c r="J36" s="15" t="str">
        <f>IFERROR(INDEX(Service_Tarifs!$F$2:$F$271,MATCH(F36,Service_Tarifs!$B$2:$B$271,0)),"")</f>
        <v/>
      </c>
      <c r="K36" s="16" t="str">
        <f t="shared" si="7"/>
        <v/>
      </c>
      <c r="L36" s="15"/>
      <c r="M36" s="16" t="str">
        <f t="shared" si="8"/>
        <v/>
      </c>
      <c r="N36" s="16" t="str">
        <f t="shared" si="9"/>
        <v/>
      </c>
      <c r="O36" s="16" t="str">
        <f t="shared" si="10"/>
        <v/>
      </c>
      <c r="P36" s="16" t="str">
        <f t="shared" si="11"/>
        <v/>
      </c>
      <c r="Q36" s="30"/>
      <c r="R36" s="16" t="str">
        <f t="shared" si="12"/>
        <v/>
      </c>
      <c r="S36" s="16">
        <v>300000</v>
      </c>
      <c r="T36" s="17" t="str">
        <f t="shared" si="13"/>
        <v/>
      </c>
      <c r="U36" s="18">
        <f t="shared" ca="1" si="14"/>
        <v>46326</v>
      </c>
    </row>
    <row r="37" spans="1:21" ht="16.5" x14ac:dyDescent="0.3">
      <c r="A37" s="29"/>
      <c r="B37" s="27">
        <f t="shared" ca="1" si="6"/>
        <v>46296</v>
      </c>
      <c r="C37" s="19" t="str">
        <f>IF(D37="","",INDEX(Clients!B:B,MATCH(D37,Clients!A:A,0)))</f>
        <v>NS-CL-0001</v>
      </c>
      <c r="D37" s="19" t="s">
        <v>9</v>
      </c>
      <c r="E37" s="19"/>
      <c r="F37" s="19"/>
      <c r="G37" s="19"/>
      <c r="H37" s="24"/>
      <c r="I37" s="25" t="str">
        <f>IFERROR(INDEX(Service_Tarifs!$D$2:$D$271,MATCH(F37,Service_Tarifs!$B$2:$B$271,0)),"")</f>
        <v/>
      </c>
      <c r="J37" s="15" t="str">
        <f>IFERROR(INDEX(Service_Tarifs!$F$2:$F$271,MATCH(F37,Service_Tarifs!$B$2:$B$271,0)),"")</f>
        <v/>
      </c>
      <c r="K37" s="16" t="str">
        <f t="shared" si="7"/>
        <v/>
      </c>
      <c r="L37" s="15"/>
      <c r="M37" s="16" t="str">
        <f t="shared" si="8"/>
        <v/>
      </c>
      <c r="N37" s="16" t="str">
        <f t="shared" si="9"/>
        <v/>
      </c>
      <c r="O37" s="16" t="str">
        <f t="shared" si="10"/>
        <v/>
      </c>
      <c r="P37" s="16" t="str">
        <f t="shared" si="11"/>
        <v/>
      </c>
      <c r="Q37" s="30"/>
      <c r="R37" s="16" t="str">
        <f t="shared" si="12"/>
        <v/>
      </c>
      <c r="S37" s="16">
        <v>300000</v>
      </c>
      <c r="T37" s="17" t="str">
        <f t="shared" si="13"/>
        <v/>
      </c>
      <c r="U37" s="18">
        <f t="shared" ca="1" si="14"/>
        <v>46326</v>
      </c>
    </row>
    <row r="38" spans="1:21" ht="16.5" x14ac:dyDescent="0.3">
      <c r="A38" s="29"/>
      <c r="B38" s="27">
        <f t="shared" ca="1" si="6"/>
        <v>46296</v>
      </c>
      <c r="C38" s="19" t="str">
        <f>IF(D38="","",INDEX(Clients!B:B,MATCH(D38,Clients!A:A,0)))</f>
        <v>NS-CL-0001</v>
      </c>
      <c r="D38" s="19" t="s">
        <v>9</v>
      </c>
      <c r="E38" s="19"/>
      <c r="F38" s="19"/>
      <c r="G38" s="19"/>
      <c r="H38" s="24"/>
      <c r="I38" s="25" t="str">
        <f>IFERROR(INDEX(Service_Tarifs!$D$2:$D$271,MATCH(F38,Service_Tarifs!$B$2:$B$271,0)),"")</f>
        <v/>
      </c>
      <c r="J38" s="15" t="str">
        <f>IFERROR(INDEX(Service_Tarifs!$F$2:$F$271,MATCH(F38,Service_Tarifs!$B$2:$B$271,0)),"")</f>
        <v/>
      </c>
      <c r="K38" s="16" t="str">
        <f t="shared" si="7"/>
        <v/>
      </c>
      <c r="L38" s="15"/>
      <c r="M38" s="16" t="str">
        <f t="shared" si="8"/>
        <v/>
      </c>
      <c r="N38" s="16" t="str">
        <f t="shared" si="9"/>
        <v/>
      </c>
      <c r="O38" s="16" t="str">
        <f t="shared" si="10"/>
        <v/>
      </c>
      <c r="P38" s="16" t="str">
        <f t="shared" si="11"/>
        <v/>
      </c>
      <c r="Q38" s="30"/>
      <c r="R38" s="16" t="str">
        <f t="shared" si="12"/>
        <v/>
      </c>
      <c r="S38" s="16">
        <v>300000</v>
      </c>
      <c r="T38" s="17" t="str">
        <f t="shared" si="13"/>
        <v/>
      </c>
      <c r="U38" s="18">
        <f t="shared" ca="1" si="14"/>
        <v>46326</v>
      </c>
    </row>
    <row r="39" spans="1:21" ht="16.5" x14ac:dyDescent="0.3">
      <c r="A39" s="29"/>
      <c r="B39" s="27">
        <f t="shared" ca="1" si="6"/>
        <v>46296</v>
      </c>
      <c r="C39" s="19" t="str">
        <f>IF(D39="","",INDEX(Clients!B:B,MATCH(D39,Clients!A:A,0)))</f>
        <v>NS-CL-0001</v>
      </c>
      <c r="D39" s="19" t="s">
        <v>9</v>
      </c>
      <c r="E39" s="19"/>
      <c r="F39" s="19"/>
      <c r="G39" s="19"/>
      <c r="H39" s="24"/>
      <c r="I39" s="25" t="str">
        <f>IFERROR(INDEX(Service_Tarifs!$D$2:$D$271,MATCH(F39,Service_Tarifs!$B$2:$B$271,0)),"")</f>
        <v/>
      </c>
      <c r="J39" s="15" t="str">
        <f>IFERROR(INDEX(Service_Tarifs!$F$2:$F$271,MATCH(F39,Service_Tarifs!$B$2:$B$271,0)),"")</f>
        <v/>
      </c>
      <c r="K39" s="16" t="str">
        <f t="shared" si="7"/>
        <v/>
      </c>
      <c r="L39" s="15"/>
      <c r="M39" s="16" t="str">
        <f t="shared" si="8"/>
        <v/>
      </c>
      <c r="N39" s="16" t="str">
        <f t="shared" si="9"/>
        <v/>
      </c>
      <c r="O39" s="16" t="str">
        <f t="shared" si="10"/>
        <v/>
      </c>
      <c r="P39" s="16" t="str">
        <f t="shared" si="11"/>
        <v/>
      </c>
      <c r="Q39" s="30"/>
      <c r="R39" s="16" t="str">
        <f t="shared" si="12"/>
        <v/>
      </c>
      <c r="S39" s="16">
        <v>300000</v>
      </c>
      <c r="T39" s="17" t="str">
        <f t="shared" si="13"/>
        <v/>
      </c>
      <c r="U39" s="18">
        <f t="shared" ca="1" si="14"/>
        <v>46326</v>
      </c>
    </row>
    <row r="40" spans="1:21" ht="16.5" x14ac:dyDescent="0.3">
      <c r="A40" s="29"/>
      <c r="B40" s="27">
        <f t="shared" ca="1" si="6"/>
        <v>46296</v>
      </c>
      <c r="C40" s="19" t="str">
        <f>IF(D40="","",INDEX(Clients!B:B,MATCH(D40,Clients!A:A,0)))</f>
        <v>NS-CL-0001</v>
      </c>
      <c r="D40" s="19" t="s">
        <v>9</v>
      </c>
      <c r="E40" s="19"/>
      <c r="F40" s="19"/>
      <c r="G40" s="19"/>
      <c r="H40" s="24"/>
      <c r="I40" s="25" t="str">
        <f>IFERROR(INDEX(Service_Tarifs!$D$2:$D$271,MATCH(F40,Service_Tarifs!$B$2:$B$271,0)),"")</f>
        <v/>
      </c>
      <c r="J40" s="15" t="str">
        <f>IFERROR(INDEX(Service_Tarifs!$F$2:$F$271,MATCH(F40,Service_Tarifs!$B$2:$B$271,0)),"")</f>
        <v/>
      </c>
      <c r="K40" s="16" t="str">
        <f t="shared" si="7"/>
        <v/>
      </c>
      <c r="L40" s="15"/>
      <c r="M40" s="16" t="str">
        <f t="shared" si="8"/>
        <v/>
      </c>
      <c r="N40" s="16" t="str">
        <f t="shared" si="9"/>
        <v/>
      </c>
      <c r="O40" s="16" t="str">
        <f t="shared" si="10"/>
        <v/>
      </c>
      <c r="P40" s="16" t="str">
        <f t="shared" si="11"/>
        <v/>
      </c>
      <c r="Q40" s="30"/>
      <c r="R40" s="16" t="str">
        <f t="shared" si="12"/>
        <v/>
      </c>
      <c r="S40" s="16">
        <v>300000</v>
      </c>
      <c r="T40" s="17" t="str">
        <f t="shared" si="13"/>
        <v/>
      </c>
      <c r="U40" s="18">
        <f t="shared" ca="1" si="14"/>
        <v>46326</v>
      </c>
    </row>
    <row r="41" spans="1:21" ht="16.5" x14ac:dyDescent="0.3">
      <c r="A41" s="29"/>
      <c r="B41" s="27">
        <f t="shared" ca="1" si="6"/>
        <v>46296</v>
      </c>
      <c r="C41" s="19" t="str">
        <f>IF(D41="","",INDEX(Clients!B:B,MATCH(D41,Clients!A:A,0)))</f>
        <v>NS-CL-0001</v>
      </c>
      <c r="D41" s="19" t="s">
        <v>9</v>
      </c>
      <c r="E41" s="19"/>
      <c r="F41" s="19"/>
      <c r="G41" s="19"/>
      <c r="H41" s="24"/>
      <c r="I41" s="25" t="str">
        <f>IFERROR(INDEX(Service_Tarifs!$D$2:$D$271,MATCH(F41,Service_Tarifs!$B$2:$B$271,0)),"")</f>
        <v/>
      </c>
      <c r="J41" s="15" t="str">
        <f>IFERROR(INDEX(Service_Tarifs!$F$2:$F$271,MATCH(F41,Service_Tarifs!$B$2:$B$271,0)),"")</f>
        <v/>
      </c>
      <c r="K41" s="16" t="str">
        <f t="shared" si="7"/>
        <v/>
      </c>
      <c r="L41" s="15"/>
      <c r="M41" s="16" t="str">
        <f t="shared" si="8"/>
        <v/>
      </c>
      <c r="N41" s="16" t="str">
        <f t="shared" si="9"/>
        <v/>
      </c>
      <c r="O41" s="16" t="str">
        <f t="shared" si="10"/>
        <v/>
      </c>
      <c r="P41" s="16" t="str">
        <f t="shared" si="11"/>
        <v/>
      </c>
      <c r="Q41" s="30"/>
      <c r="R41" s="16" t="str">
        <f t="shared" si="12"/>
        <v/>
      </c>
      <c r="S41" s="16">
        <v>300000</v>
      </c>
      <c r="T41" s="17" t="str">
        <f t="shared" si="13"/>
        <v/>
      </c>
      <c r="U41" s="18">
        <f t="shared" ca="1" si="14"/>
        <v>46326</v>
      </c>
    </row>
    <row r="42" spans="1:21" ht="16.5" x14ac:dyDescent="0.3">
      <c r="A42" s="29"/>
      <c r="B42" s="27">
        <f t="shared" ca="1" si="6"/>
        <v>46296</v>
      </c>
      <c r="C42" s="19" t="str">
        <f>IF(D42="","",INDEX(Clients!B:B,MATCH(D42,Clients!A:A,0)))</f>
        <v>NS-CL-0001</v>
      </c>
      <c r="D42" s="19" t="s">
        <v>9</v>
      </c>
      <c r="E42" s="19"/>
      <c r="F42" s="19"/>
      <c r="G42" s="19"/>
      <c r="H42" s="24"/>
      <c r="I42" s="25" t="str">
        <f>IFERROR(INDEX(Service_Tarifs!$D$2:$D$271,MATCH(F42,Service_Tarifs!$B$2:$B$271,0)),"")</f>
        <v/>
      </c>
      <c r="J42" s="15" t="str">
        <f>IFERROR(INDEX(Service_Tarifs!$F$2:$F$271,MATCH(F42,Service_Tarifs!$B$2:$B$271,0)),"")</f>
        <v/>
      </c>
      <c r="K42" s="16" t="str">
        <f t="shared" si="7"/>
        <v/>
      </c>
      <c r="L42" s="15"/>
      <c r="M42" s="16" t="str">
        <f t="shared" si="8"/>
        <v/>
      </c>
      <c r="N42" s="16" t="str">
        <f t="shared" si="9"/>
        <v/>
      </c>
      <c r="O42" s="16" t="str">
        <f t="shared" si="10"/>
        <v/>
      </c>
      <c r="P42" s="16" t="str">
        <f t="shared" si="11"/>
        <v/>
      </c>
      <c r="Q42" s="30"/>
      <c r="R42" s="16" t="str">
        <f t="shared" si="12"/>
        <v/>
      </c>
      <c r="S42" s="16">
        <v>300000</v>
      </c>
      <c r="T42" s="17" t="str">
        <f t="shared" si="13"/>
        <v/>
      </c>
      <c r="U42" s="18">
        <f t="shared" ca="1" si="14"/>
        <v>46326</v>
      </c>
    </row>
    <row r="43" spans="1:21" ht="16.5" x14ac:dyDescent="0.3">
      <c r="A43" s="29"/>
      <c r="B43" s="27">
        <f t="shared" ca="1" si="6"/>
        <v>46296</v>
      </c>
      <c r="C43" s="19" t="str">
        <f>IF(D43="","",INDEX(Clients!B:B,MATCH(D43,Clients!A:A,0)))</f>
        <v>NS-CL-0001</v>
      </c>
      <c r="D43" s="19" t="s">
        <v>9</v>
      </c>
      <c r="E43" s="19"/>
      <c r="F43" s="19"/>
      <c r="G43" s="19"/>
      <c r="H43" s="24"/>
      <c r="I43" s="25" t="str">
        <f>IFERROR(INDEX(Service_Tarifs!$D$2:$D$271,MATCH(F43,Service_Tarifs!$B$2:$B$271,0)),"")</f>
        <v/>
      </c>
      <c r="J43" s="15" t="str">
        <f>IFERROR(INDEX(Service_Tarifs!$F$2:$F$271,MATCH(F43,Service_Tarifs!$B$2:$B$271,0)),"")</f>
        <v/>
      </c>
      <c r="K43" s="16" t="str">
        <f t="shared" si="7"/>
        <v/>
      </c>
      <c r="L43" s="15"/>
      <c r="M43" s="16" t="str">
        <f t="shared" si="8"/>
        <v/>
      </c>
      <c r="N43" s="16" t="str">
        <f t="shared" si="9"/>
        <v/>
      </c>
      <c r="O43" s="16" t="str">
        <f t="shared" si="10"/>
        <v/>
      </c>
      <c r="P43" s="16" t="str">
        <f t="shared" si="11"/>
        <v/>
      </c>
      <c r="Q43" s="30"/>
      <c r="R43" s="16" t="str">
        <f t="shared" si="12"/>
        <v/>
      </c>
      <c r="S43" s="16">
        <v>300000</v>
      </c>
      <c r="T43" s="17" t="str">
        <f t="shared" si="13"/>
        <v/>
      </c>
      <c r="U43" s="18">
        <f t="shared" ca="1" si="14"/>
        <v>46326</v>
      </c>
    </row>
    <row r="44" spans="1:21" ht="16.5" x14ac:dyDescent="0.3">
      <c r="A44" s="29"/>
      <c r="B44" s="27">
        <f t="shared" ca="1" si="6"/>
        <v>46296</v>
      </c>
      <c r="C44" s="19" t="str">
        <f>IF(D44="","",INDEX(Clients!B:B,MATCH(D44,Clients!A:A,0)))</f>
        <v>NS-CL-0001</v>
      </c>
      <c r="D44" s="19" t="s">
        <v>9</v>
      </c>
      <c r="E44" s="19"/>
      <c r="F44" s="19"/>
      <c r="G44" s="19"/>
      <c r="H44" s="24"/>
      <c r="I44" s="25" t="str">
        <f>IFERROR(INDEX(Service_Tarifs!$D$2:$D$271,MATCH(F44,Service_Tarifs!$B$2:$B$271,0)),"")</f>
        <v/>
      </c>
      <c r="J44" s="15" t="str">
        <f>IFERROR(INDEX(Service_Tarifs!$F$2:$F$271,MATCH(F44,Service_Tarifs!$B$2:$B$271,0)),"")</f>
        <v/>
      </c>
      <c r="K44" s="16" t="str">
        <f t="shared" si="7"/>
        <v/>
      </c>
      <c r="L44" s="15"/>
      <c r="M44" s="16" t="str">
        <f t="shared" si="8"/>
        <v/>
      </c>
      <c r="N44" s="16" t="str">
        <f t="shared" si="9"/>
        <v/>
      </c>
      <c r="O44" s="16" t="str">
        <f t="shared" si="10"/>
        <v/>
      </c>
      <c r="P44" s="16" t="str">
        <f t="shared" si="11"/>
        <v/>
      </c>
      <c r="Q44" s="30"/>
      <c r="R44" s="16" t="str">
        <f t="shared" si="12"/>
        <v/>
      </c>
      <c r="S44" s="16">
        <v>300000</v>
      </c>
      <c r="T44" s="17" t="str">
        <f t="shared" si="13"/>
        <v/>
      </c>
      <c r="U44" s="18">
        <f t="shared" ca="1" si="14"/>
        <v>46326</v>
      </c>
    </row>
    <row r="45" spans="1:21" ht="16.5" x14ac:dyDescent="0.3">
      <c r="A45" s="29"/>
      <c r="B45" s="27">
        <f t="shared" ca="1" si="6"/>
        <v>46296</v>
      </c>
      <c r="C45" s="19" t="str">
        <f>IF(D45="","",INDEX(Clients!B:B,MATCH(D45,Clients!A:A,0)))</f>
        <v>NS-CL-0001</v>
      </c>
      <c r="D45" s="19" t="s">
        <v>9</v>
      </c>
      <c r="E45" s="19"/>
      <c r="F45" s="19"/>
      <c r="G45" s="19"/>
      <c r="H45" s="24"/>
      <c r="I45" s="25" t="str">
        <f>IFERROR(INDEX(Service_Tarifs!$D$2:$D$271,MATCH(F45,Service_Tarifs!$B$2:$B$271,0)),"")</f>
        <v/>
      </c>
      <c r="J45" s="15" t="str">
        <f>IFERROR(INDEX(Service_Tarifs!$F$2:$F$271,MATCH(F45,Service_Tarifs!$B$2:$B$271,0)),"")</f>
        <v/>
      </c>
      <c r="K45" s="16" t="str">
        <f t="shared" si="7"/>
        <v/>
      </c>
      <c r="L45" s="15"/>
      <c r="M45" s="16" t="str">
        <f t="shared" si="8"/>
        <v/>
      </c>
      <c r="N45" s="16" t="str">
        <f t="shared" si="9"/>
        <v/>
      </c>
      <c r="O45" s="16" t="str">
        <f t="shared" si="10"/>
        <v/>
      </c>
      <c r="P45" s="16" t="str">
        <f t="shared" si="11"/>
        <v/>
      </c>
      <c r="Q45" s="30"/>
      <c r="R45" s="16" t="str">
        <f t="shared" si="12"/>
        <v/>
      </c>
      <c r="S45" s="16">
        <v>300000</v>
      </c>
      <c r="T45" s="17" t="str">
        <f t="shared" si="13"/>
        <v/>
      </c>
      <c r="U45" s="18">
        <f t="shared" ca="1" si="14"/>
        <v>46326</v>
      </c>
    </row>
    <row r="46" spans="1:21" ht="16.5" x14ac:dyDescent="0.3">
      <c r="A46" s="29"/>
      <c r="B46" s="27">
        <f t="shared" ca="1" si="6"/>
        <v>46296</v>
      </c>
      <c r="C46" s="19" t="str">
        <f>IF(D46="","",INDEX(Clients!B:B,MATCH(D46,Clients!A:A,0)))</f>
        <v>NS-CL-0001</v>
      </c>
      <c r="D46" s="19" t="s">
        <v>9</v>
      </c>
      <c r="E46" s="19"/>
      <c r="F46" s="19"/>
      <c r="G46" s="19"/>
      <c r="H46" s="24"/>
      <c r="I46" s="25" t="str">
        <f>IFERROR(INDEX(Service_Tarifs!$D$2:$D$271,MATCH(F46,Service_Tarifs!$B$2:$B$271,0)),"")</f>
        <v/>
      </c>
      <c r="J46" s="15" t="str">
        <f>IFERROR(INDEX(Service_Tarifs!$F$2:$F$271,MATCH(F46,Service_Tarifs!$B$2:$B$271,0)),"")</f>
        <v/>
      </c>
      <c r="K46" s="16" t="str">
        <f t="shared" si="7"/>
        <v/>
      </c>
      <c r="L46" s="15"/>
      <c r="M46" s="16" t="str">
        <f t="shared" si="8"/>
        <v/>
      </c>
      <c r="N46" s="16" t="str">
        <f t="shared" si="9"/>
        <v/>
      </c>
      <c r="O46" s="16" t="str">
        <f t="shared" si="10"/>
        <v/>
      </c>
      <c r="P46" s="16" t="str">
        <f t="shared" si="11"/>
        <v/>
      </c>
      <c r="Q46" s="30"/>
      <c r="R46" s="16" t="str">
        <f t="shared" si="12"/>
        <v/>
      </c>
      <c r="S46" s="16">
        <v>300000</v>
      </c>
      <c r="T46" s="17" t="str">
        <f t="shared" si="13"/>
        <v/>
      </c>
      <c r="U46" s="18">
        <f t="shared" ca="1" si="14"/>
        <v>46326</v>
      </c>
    </row>
    <row r="47" spans="1:21" ht="16.5" x14ac:dyDescent="0.3">
      <c r="A47" s="29"/>
      <c r="B47" s="27">
        <f t="shared" ca="1" si="6"/>
        <v>46296</v>
      </c>
      <c r="C47" s="19" t="str">
        <f>IF(D47="","",INDEX(Clients!B:B,MATCH(D47,Clients!A:A,0)))</f>
        <v>NS-CL-0001</v>
      </c>
      <c r="D47" s="19" t="s">
        <v>9</v>
      </c>
      <c r="E47" s="19"/>
      <c r="F47" s="19"/>
      <c r="G47" s="19"/>
      <c r="H47" s="24"/>
      <c r="I47" s="25" t="str">
        <f>IFERROR(INDEX(Service_Tarifs!$D$2:$D$271,MATCH(F47,Service_Tarifs!$B$2:$B$271,0)),"")</f>
        <v/>
      </c>
      <c r="J47" s="15" t="str">
        <f>IFERROR(INDEX(Service_Tarifs!$F$2:$F$271,MATCH(F47,Service_Tarifs!$B$2:$B$271,0)),"")</f>
        <v/>
      </c>
      <c r="K47" s="16" t="str">
        <f t="shared" si="7"/>
        <v/>
      </c>
      <c r="L47" s="15"/>
      <c r="M47" s="16" t="str">
        <f t="shared" si="8"/>
        <v/>
      </c>
      <c r="N47" s="16" t="str">
        <f t="shared" si="9"/>
        <v/>
      </c>
      <c r="O47" s="16" t="str">
        <f t="shared" si="10"/>
        <v/>
      </c>
      <c r="P47" s="16" t="str">
        <f t="shared" si="11"/>
        <v/>
      </c>
      <c r="Q47" s="30"/>
      <c r="R47" s="16" t="str">
        <f t="shared" si="12"/>
        <v/>
      </c>
      <c r="S47" s="16">
        <v>300000</v>
      </c>
      <c r="T47" s="17" t="str">
        <f t="shared" si="13"/>
        <v/>
      </c>
      <c r="U47" s="18">
        <f t="shared" ca="1" si="14"/>
        <v>46326</v>
      </c>
    </row>
    <row r="48" spans="1:21" ht="16.5" x14ac:dyDescent="0.3">
      <c r="A48" s="29"/>
      <c r="B48" s="27">
        <f t="shared" ca="1" si="6"/>
        <v>46296</v>
      </c>
      <c r="C48" s="19" t="str">
        <f>IF(D48="","",INDEX(Clients!B:B,MATCH(D48,Clients!A:A,0)))</f>
        <v>NS-CL-0001</v>
      </c>
      <c r="D48" s="19" t="s">
        <v>9</v>
      </c>
      <c r="E48" s="19"/>
      <c r="F48" s="19"/>
      <c r="G48" s="19"/>
      <c r="H48" s="24"/>
      <c r="I48" s="25" t="str">
        <f>IFERROR(INDEX(Service_Tarifs!$D$2:$D$271,MATCH(F48,Service_Tarifs!$B$2:$B$271,0)),"")</f>
        <v/>
      </c>
      <c r="J48" s="15" t="str">
        <f>IFERROR(INDEX(Service_Tarifs!$F$2:$F$271,MATCH(F48,Service_Tarifs!$B$2:$B$271,0)),"")</f>
        <v/>
      </c>
      <c r="K48" s="16" t="str">
        <f t="shared" si="7"/>
        <v/>
      </c>
      <c r="L48" s="15"/>
      <c r="M48" s="16" t="str">
        <f t="shared" si="8"/>
        <v/>
      </c>
      <c r="N48" s="16" t="str">
        <f t="shared" si="9"/>
        <v/>
      </c>
      <c r="O48" s="16" t="str">
        <f t="shared" si="10"/>
        <v/>
      </c>
      <c r="P48" s="16" t="str">
        <f t="shared" si="11"/>
        <v/>
      </c>
      <c r="Q48" s="30"/>
      <c r="R48" s="16" t="str">
        <f t="shared" si="12"/>
        <v/>
      </c>
      <c r="S48" s="16">
        <v>300000</v>
      </c>
      <c r="T48" s="17" t="str">
        <f t="shared" si="13"/>
        <v/>
      </c>
      <c r="U48" s="18">
        <f t="shared" ca="1" si="14"/>
        <v>46326</v>
      </c>
    </row>
    <row r="49" spans="1:21" ht="16.5" x14ac:dyDescent="0.3">
      <c r="A49" s="29"/>
      <c r="B49" s="27">
        <f t="shared" ca="1" si="6"/>
        <v>46296</v>
      </c>
      <c r="C49" s="19" t="str">
        <f>IF(D49="","",INDEX(Clients!B:B,MATCH(D49,Clients!A:A,0)))</f>
        <v>NS-CL-0001</v>
      </c>
      <c r="D49" s="19" t="s">
        <v>9</v>
      </c>
      <c r="E49" s="19"/>
      <c r="F49" s="19"/>
      <c r="G49" s="19"/>
      <c r="H49" s="24"/>
      <c r="I49" s="25" t="str">
        <f>IFERROR(INDEX(Service_Tarifs!$D$2:$D$271,MATCH(F49,Service_Tarifs!$B$2:$B$271,0)),"")</f>
        <v/>
      </c>
      <c r="J49" s="15" t="str">
        <f>IFERROR(INDEX(Service_Tarifs!$F$2:$F$271,MATCH(F49,Service_Tarifs!$B$2:$B$271,0)),"")</f>
        <v/>
      </c>
      <c r="K49" s="16" t="str">
        <f t="shared" si="7"/>
        <v/>
      </c>
      <c r="L49" s="15"/>
      <c r="M49" s="16" t="str">
        <f t="shared" si="8"/>
        <v/>
      </c>
      <c r="N49" s="16" t="str">
        <f t="shared" si="9"/>
        <v/>
      </c>
      <c r="O49" s="16" t="str">
        <f t="shared" si="10"/>
        <v/>
      </c>
      <c r="P49" s="16" t="str">
        <f t="shared" si="11"/>
        <v/>
      </c>
      <c r="Q49" s="30"/>
      <c r="R49" s="16" t="str">
        <f t="shared" si="12"/>
        <v/>
      </c>
      <c r="S49" s="16">
        <v>300000</v>
      </c>
      <c r="T49" s="17" t="str">
        <f t="shared" si="13"/>
        <v/>
      </c>
      <c r="U49" s="18">
        <f t="shared" ca="1" si="14"/>
        <v>46326</v>
      </c>
    </row>
    <row r="50" spans="1:21" ht="16.5" x14ac:dyDescent="0.3">
      <c r="A50" s="29"/>
      <c r="B50" s="27">
        <f t="shared" ca="1" si="6"/>
        <v>46296</v>
      </c>
      <c r="C50" s="19" t="str">
        <f>IF(D50="","",INDEX(Clients!B:B,MATCH(D50,Clients!A:A,0)))</f>
        <v>NS-CL-0001</v>
      </c>
      <c r="D50" s="19" t="s">
        <v>9</v>
      </c>
      <c r="E50" s="19"/>
      <c r="F50" s="19"/>
      <c r="G50" s="19"/>
      <c r="H50" s="24"/>
      <c r="I50" s="25" t="str">
        <f>IFERROR(INDEX(Service_Tarifs!$D$2:$D$271,MATCH(F50,Service_Tarifs!$B$2:$B$271,0)),"")</f>
        <v/>
      </c>
      <c r="J50" s="15" t="str">
        <f>IFERROR(INDEX(Service_Tarifs!$F$2:$F$271,MATCH(F50,Service_Tarifs!$B$2:$B$271,0)),"")</f>
        <v/>
      </c>
      <c r="K50" s="16" t="str">
        <f t="shared" si="7"/>
        <v/>
      </c>
      <c r="L50" s="15"/>
      <c r="M50" s="16" t="str">
        <f t="shared" si="8"/>
        <v/>
      </c>
      <c r="N50" s="16" t="str">
        <f t="shared" si="9"/>
        <v/>
      </c>
      <c r="O50" s="16" t="str">
        <f t="shared" si="10"/>
        <v/>
      </c>
      <c r="P50" s="16" t="str">
        <f t="shared" si="11"/>
        <v/>
      </c>
      <c r="Q50" s="30"/>
      <c r="R50" s="16" t="str">
        <f t="shared" si="12"/>
        <v/>
      </c>
      <c r="S50" s="16">
        <v>300000</v>
      </c>
      <c r="T50" s="17" t="str">
        <f t="shared" si="13"/>
        <v/>
      </c>
      <c r="U50" s="18">
        <f t="shared" ca="1" si="14"/>
        <v>46326</v>
      </c>
    </row>
    <row r="51" spans="1:21" ht="16.5" x14ac:dyDescent="0.3">
      <c r="A51" s="29"/>
      <c r="B51" s="27">
        <f t="shared" ca="1" si="6"/>
        <v>46296</v>
      </c>
      <c r="C51" s="19" t="str">
        <f>IF(D51="","",INDEX(Clients!B:B,MATCH(D51,Clients!A:A,0)))</f>
        <v>NS-CL-0001</v>
      </c>
      <c r="D51" s="19" t="s">
        <v>9</v>
      </c>
      <c r="E51" s="19"/>
      <c r="F51" s="19"/>
      <c r="G51" s="19"/>
      <c r="H51" s="24"/>
      <c r="I51" s="25" t="str">
        <f>IFERROR(INDEX(Service_Tarifs!$D$2:$D$271,MATCH(F51,Service_Tarifs!$B$2:$B$271,0)),"")</f>
        <v/>
      </c>
      <c r="J51" s="15" t="str">
        <f>IFERROR(INDEX(Service_Tarifs!$F$2:$F$271,MATCH(F51,Service_Tarifs!$B$2:$B$271,0)),"")</f>
        <v/>
      </c>
      <c r="K51" s="16" t="str">
        <f t="shared" si="7"/>
        <v/>
      </c>
      <c r="L51" s="15"/>
      <c r="M51" s="16" t="str">
        <f t="shared" si="8"/>
        <v/>
      </c>
      <c r="N51" s="16" t="str">
        <f t="shared" si="9"/>
        <v/>
      </c>
      <c r="O51" s="16" t="str">
        <f t="shared" si="10"/>
        <v/>
      </c>
      <c r="P51" s="16" t="str">
        <f t="shared" si="11"/>
        <v/>
      </c>
      <c r="Q51" s="30"/>
      <c r="R51" s="16" t="str">
        <f t="shared" si="12"/>
        <v/>
      </c>
      <c r="S51" s="16">
        <v>300000</v>
      </c>
      <c r="T51" s="17" t="str">
        <f t="shared" si="13"/>
        <v/>
      </c>
      <c r="U51" s="18">
        <f t="shared" ca="1" si="14"/>
        <v>46326</v>
      </c>
    </row>
    <row r="52" spans="1:21" ht="16.5" x14ac:dyDescent="0.3">
      <c r="A52" s="29"/>
      <c r="B52" s="27">
        <f t="shared" ca="1" si="6"/>
        <v>46296</v>
      </c>
      <c r="C52" s="19" t="str">
        <f>IF(D52="","",INDEX(Clients!B:B,MATCH(D52,Clients!A:A,0)))</f>
        <v>NS-CL-0001</v>
      </c>
      <c r="D52" s="19" t="s">
        <v>9</v>
      </c>
      <c r="E52" s="19"/>
      <c r="F52" s="19"/>
      <c r="G52" s="19"/>
      <c r="H52" s="24"/>
      <c r="I52" s="25" t="str">
        <f>IFERROR(INDEX(Service_Tarifs!$D$2:$D$271,MATCH(F52,Service_Tarifs!$B$2:$B$271,0)),"")</f>
        <v/>
      </c>
      <c r="J52" s="15" t="str">
        <f>IFERROR(INDEX(Service_Tarifs!$F$2:$F$271,MATCH(F52,Service_Tarifs!$B$2:$B$271,0)),"")</f>
        <v/>
      </c>
      <c r="K52" s="16" t="str">
        <f t="shared" si="7"/>
        <v/>
      </c>
      <c r="L52" s="15"/>
      <c r="M52" s="16" t="str">
        <f t="shared" si="8"/>
        <v/>
      </c>
      <c r="N52" s="16" t="str">
        <f t="shared" si="9"/>
        <v/>
      </c>
      <c r="O52" s="16" t="str">
        <f t="shared" si="10"/>
        <v/>
      </c>
      <c r="P52" s="16" t="str">
        <f t="shared" si="11"/>
        <v/>
      </c>
      <c r="Q52" s="30"/>
      <c r="R52" s="16" t="str">
        <f t="shared" si="12"/>
        <v/>
      </c>
      <c r="S52" s="16">
        <v>300000</v>
      </c>
      <c r="T52" s="17" t="str">
        <f t="shared" si="13"/>
        <v/>
      </c>
      <c r="U52" s="18">
        <f t="shared" ca="1" si="14"/>
        <v>46326</v>
      </c>
    </row>
    <row r="53" spans="1:21" ht="16.5" x14ac:dyDescent="0.3">
      <c r="A53" s="29"/>
      <c r="B53" s="27">
        <f t="shared" ca="1" si="6"/>
        <v>46296</v>
      </c>
      <c r="C53" s="19" t="str">
        <f>IF(D53="","",INDEX(Clients!B:B,MATCH(D53,Clients!A:A,0)))</f>
        <v>NS-CL-0001</v>
      </c>
      <c r="D53" s="19" t="s">
        <v>9</v>
      </c>
      <c r="E53" s="19"/>
      <c r="F53" s="19"/>
      <c r="G53" s="19"/>
      <c r="H53" s="24"/>
      <c r="I53" s="25" t="str">
        <f>IFERROR(INDEX(Service_Tarifs!$D$2:$D$271,MATCH(F53,Service_Tarifs!$B$2:$B$271,0)),"")</f>
        <v/>
      </c>
      <c r="J53" s="15" t="str">
        <f>IFERROR(INDEX(Service_Tarifs!$F$2:$F$271,MATCH(F53,Service_Tarifs!$B$2:$B$271,0)),"")</f>
        <v/>
      </c>
      <c r="K53" s="16" t="str">
        <f t="shared" si="7"/>
        <v/>
      </c>
      <c r="L53" s="15"/>
      <c r="M53" s="16" t="str">
        <f t="shared" si="8"/>
        <v/>
      </c>
      <c r="N53" s="16" t="str">
        <f t="shared" si="9"/>
        <v/>
      </c>
      <c r="O53" s="16" t="str">
        <f t="shared" si="10"/>
        <v/>
      </c>
      <c r="P53" s="16" t="str">
        <f t="shared" si="11"/>
        <v/>
      </c>
      <c r="Q53" s="30"/>
      <c r="R53" s="16" t="str">
        <f t="shared" si="12"/>
        <v/>
      </c>
      <c r="S53" s="16">
        <v>300000</v>
      </c>
      <c r="T53" s="17" t="str">
        <f t="shared" si="13"/>
        <v/>
      </c>
      <c r="U53" s="18">
        <f t="shared" ca="1" si="14"/>
        <v>46326</v>
      </c>
    </row>
    <row r="54" spans="1:21" ht="16.5" x14ac:dyDescent="0.3">
      <c r="A54" s="29"/>
      <c r="B54" s="27">
        <f t="shared" ca="1" si="6"/>
        <v>46296</v>
      </c>
      <c r="C54" s="19" t="str">
        <f>IF(D54="","",INDEX(Clients!B:B,MATCH(D54,Clients!A:A,0)))</f>
        <v>NS-CL-0001</v>
      </c>
      <c r="D54" s="19" t="s">
        <v>9</v>
      </c>
      <c r="E54" s="19"/>
      <c r="F54" s="19"/>
      <c r="G54" s="19"/>
      <c r="H54" s="24"/>
      <c r="I54" s="25" t="str">
        <f>IFERROR(INDEX(Service_Tarifs!$D$2:$D$271,MATCH(F54,Service_Tarifs!$B$2:$B$271,0)),"")</f>
        <v/>
      </c>
      <c r="J54" s="15" t="str">
        <f>IFERROR(INDEX(Service_Tarifs!$F$2:$F$271,MATCH(F54,Service_Tarifs!$B$2:$B$271,0)),"")</f>
        <v/>
      </c>
      <c r="K54" s="16" t="str">
        <f t="shared" si="7"/>
        <v/>
      </c>
      <c r="L54" s="15"/>
      <c r="M54" s="16" t="str">
        <f t="shared" si="8"/>
        <v/>
      </c>
      <c r="N54" s="16" t="str">
        <f t="shared" si="9"/>
        <v/>
      </c>
      <c r="O54" s="16" t="str">
        <f t="shared" si="10"/>
        <v/>
      </c>
      <c r="P54" s="16" t="str">
        <f t="shared" si="11"/>
        <v/>
      </c>
      <c r="Q54" s="30"/>
      <c r="R54" s="16" t="str">
        <f t="shared" si="12"/>
        <v/>
      </c>
      <c r="S54" s="16">
        <v>300000</v>
      </c>
      <c r="T54" s="17" t="str">
        <f t="shared" si="13"/>
        <v/>
      </c>
      <c r="U54" s="18">
        <f t="shared" ca="1" si="14"/>
        <v>46326</v>
      </c>
    </row>
    <row r="55" spans="1:21" ht="16.5" x14ac:dyDescent="0.3">
      <c r="A55" s="29"/>
      <c r="B55" s="27">
        <f t="shared" ca="1" si="6"/>
        <v>46296</v>
      </c>
      <c r="C55" s="19" t="str">
        <f>IF(D55="","",INDEX(Clients!B:B,MATCH(D55,Clients!A:A,0)))</f>
        <v>NS-CL-0001</v>
      </c>
      <c r="D55" s="19" t="s">
        <v>9</v>
      </c>
      <c r="E55" s="19"/>
      <c r="F55" s="19"/>
      <c r="G55" s="19"/>
      <c r="H55" s="24"/>
      <c r="I55" s="25" t="str">
        <f>IFERROR(INDEX(Service_Tarifs!$D$2:$D$271,MATCH(F55,Service_Tarifs!$B$2:$B$271,0)),"")</f>
        <v/>
      </c>
      <c r="J55" s="15" t="str">
        <f>IFERROR(INDEX(Service_Tarifs!$F$2:$F$271,MATCH(F55,Service_Tarifs!$B$2:$B$271,0)),"")</f>
        <v/>
      </c>
      <c r="K55" s="16" t="str">
        <f t="shared" si="7"/>
        <v/>
      </c>
      <c r="L55" s="15"/>
      <c r="M55" s="16" t="str">
        <f t="shared" si="8"/>
        <v/>
      </c>
      <c r="N55" s="16" t="str">
        <f t="shared" si="9"/>
        <v/>
      </c>
      <c r="O55" s="16" t="str">
        <f t="shared" si="10"/>
        <v/>
      </c>
      <c r="P55" s="16" t="str">
        <f t="shared" si="11"/>
        <v/>
      </c>
      <c r="Q55" s="30"/>
      <c r="R55" s="16" t="str">
        <f t="shared" si="12"/>
        <v/>
      </c>
      <c r="S55" s="16">
        <v>300000</v>
      </c>
      <c r="T55" s="17" t="str">
        <f t="shared" si="13"/>
        <v/>
      </c>
      <c r="U55" s="18">
        <f t="shared" ca="1" si="14"/>
        <v>46326</v>
      </c>
    </row>
    <row r="56" spans="1:21" ht="16.5" x14ac:dyDescent="0.3">
      <c r="A56" s="29"/>
      <c r="B56" s="27">
        <f t="shared" ca="1" si="6"/>
        <v>46296</v>
      </c>
      <c r="C56" s="19" t="str">
        <f>IF(D56="","",INDEX(Clients!B:B,MATCH(D56,Clients!A:A,0)))</f>
        <v>NS-CL-0001</v>
      </c>
      <c r="D56" s="19" t="s">
        <v>9</v>
      </c>
      <c r="E56" s="19"/>
      <c r="F56" s="19"/>
      <c r="G56" s="19"/>
      <c r="H56" s="24"/>
      <c r="I56" s="25" t="str">
        <f>IFERROR(INDEX(Service_Tarifs!$D$2:$D$271,MATCH(F56,Service_Tarifs!$B$2:$B$271,0)),"")</f>
        <v/>
      </c>
      <c r="J56" s="15" t="str">
        <f>IFERROR(INDEX(Service_Tarifs!$F$2:$F$271,MATCH(F56,Service_Tarifs!$B$2:$B$271,0)),"")</f>
        <v/>
      </c>
      <c r="K56" s="16" t="str">
        <f t="shared" si="7"/>
        <v/>
      </c>
      <c r="L56" s="15"/>
      <c r="M56" s="16" t="str">
        <f t="shared" si="8"/>
        <v/>
      </c>
      <c r="N56" s="16" t="str">
        <f t="shared" si="9"/>
        <v/>
      </c>
      <c r="O56" s="16" t="str">
        <f t="shared" si="10"/>
        <v/>
      </c>
      <c r="P56" s="16" t="str">
        <f t="shared" si="11"/>
        <v/>
      </c>
      <c r="Q56" s="30"/>
      <c r="R56" s="16" t="str">
        <f t="shared" si="12"/>
        <v/>
      </c>
      <c r="S56" s="16">
        <v>300000</v>
      </c>
      <c r="T56" s="17" t="str">
        <f t="shared" si="13"/>
        <v/>
      </c>
      <c r="U56" s="18">
        <f t="shared" ca="1" si="14"/>
        <v>46326</v>
      </c>
    </row>
    <row r="57" spans="1:21" ht="16.5" x14ac:dyDescent="0.3">
      <c r="A57" s="29"/>
      <c r="B57" s="27">
        <f t="shared" ca="1" si="6"/>
        <v>46296</v>
      </c>
      <c r="C57" s="19" t="str">
        <f>IF(D57="","",INDEX(Clients!B:B,MATCH(D57,Clients!A:A,0)))</f>
        <v>NS-CL-0001</v>
      </c>
      <c r="D57" s="19" t="s">
        <v>9</v>
      </c>
      <c r="E57" s="19"/>
      <c r="F57" s="19"/>
      <c r="G57" s="19"/>
      <c r="H57" s="24"/>
      <c r="I57" s="25" t="str">
        <f>IFERROR(INDEX(Service_Tarifs!$D$2:$D$271,MATCH(F57,Service_Tarifs!$B$2:$B$271,0)),"")</f>
        <v/>
      </c>
      <c r="J57" s="15" t="str">
        <f>IFERROR(INDEX(Service_Tarifs!$F$2:$F$271,MATCH(F57,Service_Tarifs!$B$2:$B$271,0)),"")</f>
        <v/>
      </c>
      <c r="K57" s="16" t="str">
        <f t="shared" si="7"/>
        <v/>
      </c>
      <c r="L57" s="15"/>
      <c r="M57" s="16" t="str">
        <f t="shared" si="8"/>
        <v/>
      </c>
      <c r="N57" s="16" t="str">
        <f t="shared" si="9"/>
        <v/>
      </c>
      <c r="O57" s="16" t="str">
        <f t="shared" si="10"/>
        <v/>
      </c>
      <c r="P57" s="16" t="str">
        <f t="shared" si="11"/>
        <v/>
      </c>
      <c r="Q57" s="30"/>
      <c r="R57" s="16" t="str">
        <f t="shared" si="12"/>
        <v/>
      </c>
      <c r="S57" s="16">
        <v>300000</v>
      </c>
      <c r="T57" s="17" t="str">
        <f t="shared" si="13"/>
        <v/>
      </c>
      <c r="U57" s="18">
        <f t="shared" ca="1" si="14"/>
        <v>46326</v>
      </c>
    </row>
    <row r="58" spans="1:21" ht="16.5" x14ac:dyDescent="0.3">
      <c r="A58" s="29"/>
      <c r="B58" s="27">
        <f t="shared" ca="1" si="6"/>
        <v>46296</v>
      </c>
      <c r="C58" s="19" t="str">
        <f>IF(D58="","",INDEX(Clients!B:B,MATCH(D58,Clients!A:A,0)))</f>
        <v>NS-CL-0001</v>
      </c>
      <c r="D58" s="19" t="s">
        <v>9</v>
      </c>
      <c r="E58" s="19"/>
      <c r="F58" s="19"/>
      <c r="G58" s="19"/>
      <c r="H58" s="24"/>
      <c r="I58" s="25" t="str">
        <f>IFERROR(INDEX(Service_Tarifs!$D$2:$D$271,MATCH(F58,Service_Tarifs!$B$2:$B$271,0)),"")</f>
        <v/>
      </c>
      <c r="J58" s="15" t="str">
        <f>IFERROR(INDEX(Service_Tarifs!$F$2:$F$271,MATCH(F58,Service_Tarifs!$B$2:$B$271,0)),"")</f>
        <v/>
      </c>
      <c r="K58" s="16" t="str">
        <f t="shared" si="7"/>
        <v/>
      </c>
      <c r="L58" s="15"/>
      <c r="M58" s="16" t="str">
        <f t="shared" si="8"/>
        <v/>
      </c>
      <c r="N58" s="16" t="str">
        <f t="shared" si="9"/>
        <v/>
      </c>
      <c r="O58" s="16" t="str">
        <f t="shared" si="10"/>
        <v/>
      </c>
      <c r="P58" s="16" t="str">
        <f t="shared" si="11"/>
        <v/>
      </c>
      <c r="Q58" s="30"/>
      <c r="R58" s="16" t="str">
        <f t="shared" si="12"/>
        <v/>
      </c>
      <c r="S58" s="16">
        <v>300000</v>
      </c>
      <c r="T58" s="17" t="str">
        <f t="shared" si="13"/>
        <v/>
      </c>
      <c r="U58" s="18">
        <f t="shared" ca="1" si="14"/>
        <v>46326</v>
      </c>
    </row>
    <row r="59" spans="1:21" ht="16.5" x14ac:dyDescent="0.3">
      <c r="A59" s="29"/>
      <c r="B59" s="27">
        <f t="shared" ca="1" si="6"/>
        <v>46296</v>
      </c>
      <c r="C59" s="19" t="str">
        <f>IF(D59="","",INDEX(Clients!B:B,MATCH(D59,Clients!A:A,0)))</f>
        <v>NS-CL-0001</v>
      </c>
      <c r="D59" s="19" t="s">
        <v>9</v>
      </c>
      <c r="E59" s="19"/>
      <c r="F59" s="19"/>
      <c r="G59" s="19"/>
      <c r="H59" s="24"/>
      <c r="I59" s="25" t="str">
        <f>IFERROR(INDEX(Service_Tarifs!$D$2:$D$271,MATCH(F59,Service_Tarifs!$B$2:$B$271,0)),"")</f>
        <v/>
      </c>
      <c r="J59" s="15" t="str">
        <f>IFERROR(INDEX(Service_Tarifs!$F$2:$F$271,MATCH(F59,Service_Tarifs!$B$2:$B$271,0)),"")</f>
        <v/>
      </c>
      <c r="K59" s="16" t="str">
        <f t="shared" si="7"/>
        <v/>
      </c>
      <c r="L59" s="15"/>
      <c r="M59" s="16" t="str">
        <f t="shared" si="8"/>
        <v/>
      </c>
      <c r="N59" s="16" t="str">
        <f t="shared" si="9"/>
        <v/>
      </c>
      <c r="O59" s="16" t="str">
        <f t="shared" si="10"/>
        <v/>
      </c>
      <c r="P59" s="16" t="str">
        <f t="shared" si="11"/>
        <v/>
      </c>
      <c r="Q59" s="30"/>
      <c r="R59" s="16" t="str">
        <f t="shared" si="12"/>
        <v/>
      </c>
      <c r="S59" s="16">
        <v>300000</v>
      </c>
      <c r="T59" s="17" t="str">
        <f t="shared" si="13"/>
        <v/>
      </c>
      <c r="U59" s="18">
        <f t="shared" ca="1" si="14"/>
        <v>46326</v>
      </c>
    </row>
    <row r="60" spans="1:21" ht="16.5" x14ac:dyDescent="0.3">
      <c r="A60" s="29"/>
      <c r="B60" s="27">
        <f t="shared" ca="1" si="6"/>
        <v>46296</v>
      </c>
      <c r="C60" s="19" t="str">
        <f>IF(D60="","",INDEX(Clients!B:B,MATCH(D60,Clients!A:A,0)))</f>
        <v>NS-CL-0001</v>
      </c>
      <c r="D60" s="19" t="s">
        <v>9</v>
      </c>
      <c r="E60" s="19"/>
      <c r="F60" s="19"/>
      <c r="G60" s="19"/>
      <c r="H60" s="24"/>
      <c r="I60" s="25" t="str">
        <f>IFERROR(INDEX(Service_Tarifs!$D$2:$D$271,MATCH(F60,Service_Tarifs!$B$2:$B$271,0)),"")</f>
        <v/>
      </c>
      <c r="J60" s="15" t="str">
        <f>IFERROR(INDEX(Service_Tarifs!$F$2:$F$271,MATCH(F60,Service_Tarifs!$B$2:$B$271,0)),"")</f>
        <v/>
      </c>
      <c r="K60" s="16" t="str">
        <f t="shared" si="7"/>
        <v/>
      </c>
      <c r="L60" s="15"/>
      <c r="M60" s="16" t="str">
        <f t="shared" si="8"/>
        <v/>
      </c>
      <c r="N60" s="16" t="str">
        <f t="shared" si="9"/>
        <v/>
      </c>
      <c r="O60" s="16" t="str">
        <f t="shared" si="10"/>
        <v/>
      </c>
      <c r="P60" s="16" t="str">
        <f t="shared" si="11"/>
        <v/>
      </c>
      <c r="Q60" s="30"/>
      <c r="R60" s="16" t="str">
        <f t="shared" si="12"/>
        <v/>
      </c>
      <c r="S60" s="16">
        <v>300000</v>
      </c>
      <c r="T60" s="17" t="str">
        <f t="shared" si="13"/>
        <v/>
      </c>
      <c r="U60" s="18">
        <f t="shared" ca="1" si="14"/>
        <v>46326</v>
      </c>
    </row>
    <row r="61" spans="1:21" ht="16.5" x14ac:dyDescent="0.3">
      <c r="A61" s="29"/>
      <c r="B61" s="27">
        <f t="shared" ca="1" si="6"/>
        <v>46296</v>
      </c>
      <c r="C61" s="19" t="str">
        <f>IF(D61="","",INDEX(Clients!B:B,MATCH(D61,Clients!A:A,0)))</f>
        <v>NS-CL-0001</v>
      </c>
      <c r="D61" s="19" t="s">
        <v>9</v>
      </c>
      <c r="E61" s="19"/>
      <c r="F61" s="19"/>
      <c r="G61" s="19"/>
      <c r="H61" s="24"/>
      <c r="I61" s="25" t="str">
        <f>IFERROR(INDEX(Service_Tarifs!$D$2:$D$271,MATCH(F61,Service_Tarifs!$B$2:$B$271,0)),"")</f>
        <v/>
      </c>
      <c r="J61" s="15" t="str">
        <f>IFERROR(INDEX(Service_Tarifs!$F$2:$F$271,MATCH(F61,Service_Tarifs!$B$2:$B$271,0)),"")</f>
        <v/>
      </c>
      <c r="K61" s="16" t="str">
        <f t="shared" si="7"/>
        <v/>
      </c>
      <c r="L61" s="15"/>
      <c r="M61" s="16" t="str">
        <f t="shared" si="8"/>
        <v/>
      </c>
      <c r="N61" s="16" t="str">
        <f t="shared" si="9"/>
        <v/>
      </c>
      <c r="O61" s="16" t="str">
        <f t="shared" si="10"/>
        <v/>
      </c>
      <c r="P61" s="16" t="str">
        <f t="shared" si="11"/>
        <v/>
      </c>
      <c r="Q61" s="30"/>
      <c r="R61" s="16" t="str">
        <f t="shared" si="12"/>
        <v/>
      </c>
      <c r="S61" s="16">
        <v>300000</v>
      </c>
      <c r="T61" s="17" t="str">
        <f t="shared" si="13"/>
        <v/>
      </c>
      <c r="U61" s="18">
        <f t="shared" ca="1" si="14"/>
        <v>46326</v>
      </c>
    </row>
    <row r="62" spans="1:21" ht="16.5" x14ac:dyDescent="0.3">
      <c r="A62" s="29"/>
      <c r="B62" s="27">
        <f t="shared" ca="1" si="6"/>
        <v>46296</v>
      </c>
      <c r="C62" s="19" t="str">
        <f>IF(D62="","",INDEX(Clients!B:B,MATCH(D62,Clients!A:A,0)))</f>
        <v>NS-CL-0001</v>
      </c>
      <c r="D62" s="19" t="s">
        <v>9</v>
      </c>
      <c r="E62" s="19"/>
      <c r="F62" s="19"/>
      <c r="G62" s="19"/>
      <c r="H62" s="24"/>
      <c r="I62" s="25" t="str">
        <f>IFERROR(INDEX(Service_Tarifs!$D$2:$D$271,MATCH(F62,Service_Tarifs!$B$2:$B$271,0)),"")</f>
        <v/>
      </c>
      <c r="J62" s="15" t="str">
        <f>IFERROR(INDEX(Service_Tarifs!$F$2:$F$271,MATCH(F62,Service_Tarifs!$B$2:$B$271,0)),"")</f>
        <v/>
      </c>
      <c r="K62" s="16" t="str">
        <f t="shared" si="7"/>
        <v/>
      </c>
      <c r="L62" s="15"/>
      <c r="M62" s="16" t="str">
        <f t="shared" si="8"/>
        <v/>
      </c>
      <c r="N62" s="16" t="str">
        <f t="shared" si="9"/>
        <v/>
      </c>
      <c r="O62" s="16" t="str">
        <f t="shared" si="10"/>
        <v/>
      </c>
      <c r="P62" s="16" t="str">
        <f t="shared" si="11"/>
        <v/>
      </c>
      <c r="Q62" s="30"/>
      <c r="R62" s="16" t="str">
        <f t="shared" si="12"/>
        <v/>
      </c>
      <c r="S62" s="16">
        <v>300000</v>
      </c>
      <c r="T62" s="17" t="str">
        <f t="shared" si="13"/>
        <v/>
      </c>
      <c r="U62" s="18">
        <f t="shared" ca="1" si="14"/>
        <v>46326</v>
      </c>
    </row>
    <row r="63" spans="1:21" ht="16.5" x14ac:dyDescent="0.3">
      <c r="A63" s="29"/>
      <c r="B63" s="27">
        <f t="shared" ca="1" si="6"/>
        <v>46296</v>
      </c>
      <c r="C63" s="19" t="str">
        <f>IF(D63="","",INDEX(Clients!B:B,MATCH(D63,Clients!A:A,0)))</f>
        <v>NS-CL-0001</v>
      </c>
      <c r="D63" s="19" t="s">
        <v>9</v>
      </c>
      <c r="E63" s="19"/>
      <c r="F63" s="19"/>
      <c r="G63" s="19"/>
      <c r="H63" s="24"/>
      <c r="I63" s="25" t="str">
        <f>IFERROR(INDEX(Service_Tarifs!$D$2:$D$271,MATCH(F63,Service_Tarifs!$B$2:$B$271,0)),"")</f>
        <v/>
      </c>
      <c r="J63" s="15" t="str">
        <f>IFERROR(INDEX(Service_Tarifs!$F$2:$F$271,MATCH(F63,Service_Tarifs!$B$2:$B$271,0)),"")</f>
        <v/>
      </c>
      <c r="K63" s="16" t="str">
        <f t="shared" si="7"/>
        <v/>
      </c>
      <c r="L63" s="15"/>
      <c r="M63" s="16" t="str">
        <f t="shared" si="8"/>
        <v/>
      </c>
      <c r="N63" s="16" t="str">
        <f t="shared" si="9"/>
        <v/>
      </c>
      <c r="O63" s="16" t="str">
        <f t="shared" si="10"/>
        <v/>
      </c>
      <c r="P63" s="16" t="str">
        <f t="shared" si="11"/>
        <v/>
      </c>
      <c r="Q63" s="30"/>
      <c r="R63" s="16" t="str">
        <f t="shared" si="12"/>
        <v/>
      </c>
      <c r="S63" s="16">
        <v>300000</v>
      </c>
      <c r="T63" s="17" t="str">
        <f t="shared" si="13"/>
        <v/>
      </c>
      <c r="U63" s="18">
        <f t="shared" ca="1" si="14"/>
        <v>46326</v>
      </c>
    </row>
    <row r="64" spans="1:21" ht="16.5" x14ac:dyDescent="0.3">
      <c r="A64" s="29"/>
      <c r="B64" s="27">
        <f t="shared" ca="1" si="6"/>
        <v>46296</v>
      </c>
      <c r="C64" s="19" t="str">
        <f>IF(D64="","",INDEX(Clients!B:B,MATCH(D64,Clients!A:A,0)))</f>
        <v>NS-CL-0001</v>
      </c>
      <c r="D64" s="19" t="s">
        <v>9</v>
      </c>
      <c r="E64" s="19"/>
      <c r="F64" s="19"/>
      <c r="G64" s="19"/>
      <c r="H64" s="24"/>
      <c r="I64" s="25" t="str">
        <f>IFERROR(INDEX(Service_Tarifs!$D$2:$D$271,MATCH(F64,Service_Tarifs!$B$2:$B$271,0)),"")</f>
        <v/>
      </c>
      <c r="J64" s="15" t="str">
        <f>IFERROR(INDEX(Service_Tarifs!$F$2:$F$271,MATCH(F64,Service_Tarifs!$B$2:$B$271,0)),"")</f>
        <v/>
      </c>
      <c r="K64" s="16" t="str">
        <f t="shared" si="7"/>
        <v/>
      </c>
      <c r="L64" s="15"/>
      <c r="M64" s="16" t="str">
        <f t="shared" si="8"/>
        <v/>
      </c>
      <c r="N64" s="16" t="str">
        <f t="shared" si="9"/>
        <v/>
      </c>
      <c r="O64" s="16" t="str">
        <f t="shared" si="10"/>
        <v/>
      </c>
      <c r="P64" s="16" t="str">
        <f t="shared" si="11"/>
        <v/>
      </c>
      <c r="Q64" s="30"/>
      <c r="R64" s="16" t="str">
        <f t="shared" si="12"/>
        <v/>
      </c>
      <c r="S64" s="16">
        <v>300000</v>
      </c>
      <c r="T64" s="17" t="str">
        <f t="shared" si="13"/>
        <v/>
      </c>
      <c r="U64" s="18">
        <f t="shared" ca="1" si="14"/>
        <v>46326</v>
      </c>
    </row>
    <row r="65" spans="1:21" ht="16.5" x14ac:dyDescent="0.3">
      <c r="A65" s="29"/>
      <c r="B65" s="27">
        <f t="shared" ca="1" si="6"/>
        <v>46296</v>
      </c>
      <c r="C65" s="19" t="str">
        <f>IF(D65="","",INDEX(Clients!B:B,MATCH(D65,Clients!A:A,0)))</f>
        <v>NS-CL-0001</v>
      </c>
      <c r="D65" s="19" t="s">
        <v>9</v>
      </c>
      <c r="E65" s="19"/>
      <c r="F65" s="19"/>
      <c r="G65" s="19"/>
      <c r="H65" s="24"/>
      <c r="I65" s="25" t="str">
        <f>IFERROR(INDEX(Service_Tarifs!$D$2:$D$271,MATCH(F65,Service_Tarifs!$B$2:$B$271,0)),"")</f>
        <v/>
      </c>
      <c r="J65" s="15" t="str">
        <f>IFERROR(INDEX(Service_Tarifs!$F$2:$F$271,MATCH(F65,Service_Tarifs!$B$2:$B$271,0)),"")</f>
        <v/>
      </c>
      <c r="K65" s="16" t="str">
        <f t="shared" si="7"/>
        <v/>
      </c>
      <c r="L65" s="15"/>
      <c r="M65" s="16" t="str">
        <f t="shared" si="8"/>
        <v/>
      </c>
      <c r="N65" s="16" t="str">
        <f t="shared" si="9"/>
        <v/>
      </c>
      <c r="O65" s="16" t="str">
        <f t="shared" si="10"/>
        <v/>
      </c>
      <c r="P65" s="16" t="str">
        <f t="shared" si="11"/>
        <v/>
      </c>
      <c r="Q65" s="30"/>
      <c r="R65" s="16" t="str">
        <f t="shared" si="12"/>
        <v/>
      </c>
      <c r="S65" s="16">
        <v>300000</v>
      </c>
      <c r="T65" s="17" t="str">
        <f t="shared" si="13"/>
        <v/>
      </c>
      <c r="U65" s="18">
        <f t="shared" ca="1" si="14"/>
        <v>46326</v>
      </c>
    </row>
    <row r="66" spans="1:21" ht="16.5" x14ac:dyDescent="0.3">
      <c r="A66" s="29"/>
      <c r="B66" s="27">
        <f t="shared" ca="1" si="6"/>
        <v>46296</v>
      </c>
      <c r="C66" s="19" t="str">
        <f>IF(D66="","",INDEX(Clients!B:B,MATCH(D66,Clients!A:A,0)))</f>
        <v>NS-CL-0001</v>
      </c>
      <c r="D66" s="19" t="s">
        <v>9</v>
      </c>
      <c r="E66" s="19"/>
      <c r="F66" s="19"/>
      <c r="G66" s="19"/>
      <c r="H66" s="24"/>
      <c r="I66" s="25" t="str">
        <f>IFERROR(INDEX(Service_Tarifs!$D$2:$D$271,MATCH(F66,Service_Tarifs!$B$2:$B$271,0)),"")</f>
        <v/>
      </c>
      <c r="J66" s="15" t="str">
        <f>IFERROR(INDEX(Service_Tarifs!$F$2:$F$271,MATCH(F66,Service_Tarifs!$B$2:$B$271,0)),"")</f>
        <v/>
      </c>
      <c r="K66" s="16" t="str">
        <f t="shared" si="7"/>
        <v/>
      </c>
      <c r="L66" s="15"/>
      <c r="M66" s="16" t="str">
        <f t="shared" si="8"/>
        <v/>
      </c>
      <c r="N66" s="16" t="str">
        <f t="shared" si="9"/>
        <v/>
      </c>
      <c r="O66" s="16" t="str">
        <f t="shared" si="10"/>
        <v/>
      </c>
      <c r="P66" s="16" t="str">
        <f t="shared" si="11"/>
        <v/>
      </c>
      <c r="Q66" s="30"/>
      <c r="R66" s="16" t="str">
        <f t="shared" si="12"/>
        <v/>
      </c>
      <c r="S66" s="16">
        <v>300000</v>
      </c>
      <c r="T66" s="17" t="str">
        <f t="shared" si="13"/>
        <v/>
      </c>
      <c r="U66" s="18">
        <f t="shared" ca="1" si="14"/>
        <v>46326</v>
      </c>
    </row>
    <row r="67" spans="1:21" ht="16.5" x14ac:dyDescent="0.3">
      <c r="A67" s="29"/>
      <c r="B67" s="27">
        <f t="shared" ref="B67:B130" ca="1" si="15">TODAY()</f>
        <v>46296</v>
      </c>
      <c r="C67" s="19" t="str">
        <f>IF(D67="","",INDEX(Clients!B:B,MATCH(D67,Clients!A:A,0)))</f>
        <v>NS-CL-0001</v>
      </c>
      <c r="D67" s="19" t="s">
        <v>9</v>
      </c>
      <c r="E67" s="19"/>
      <c r="F67" s="19"/>
      <c r="G67" s="19"/>
      <c r="H67" s="24"/>
      <c r="I67" s="25" t="str">
        <f>IFERROR(INDEX(Service_Tarifs!$D$2:$D$271,MATCH(F67,Service_Tarifs!$B$2:$B$271,0)),"")</f>
        <v/>
      </c>
      <c r="J67" s="15" t="str">
        <f>IFERROR(INDEX(Service_Tarifs!$F$2:$F$271,MATCH(F67,Service_Tarifs!$B$2:$B$271,0)),"")</f>
        <v/>
      </c>
      <c r="K67" s="16" t="str">
        <f t="shared" ref="K67:K130" si="16">IF(OR(F67="",H67=""),"",H67*I67)</f>
        <v/>
      </c>
      <c r="L67" s="15"/>
      <c r="M67" s="16" t="str">
        <f t="shared" ref="M67:M130" si="17">IF(OR(F67="",K67="",L67=""),"",K67*L67)</f>
        <v/>
      </c>
      <c r="N67" s="16" t="str">
        <f t="shared" ref="N67:N130" si="18">IF(OR(F67="",K67=""),"",K67-M67)</f>
        <v/>
      </c>
      <c r="O67" s="16" t="str">
        <f t="shared" ref="O67:O130" si="19">IF(OR(F67="",J67="",N67=""),"",N67*J67)</f>
        <v/>
      </c>
      <c r="P67" s="16" t="str">
        <f t="shared" ref="P67:P130" si="20">IF(F67="","",N67+O67)</f>
        <v/>
      </c>
      <c r="Q67" s="30"/>
      <c r="R67" s="16" t="str">
        <f t="shared" ref="R67:R130" si="21">IF(E67="Pro-forma",P67*Q67,"")</f>
        <v/>
      </c>
      <c r="S67" s="16">
        <v>300000</v>
      </c>
      <c r="T67" s="17" t="str">
        <f t="shared" ref="T67:T130" si="22">IF(E67="Finale",P67-S67,"")</f>
        <v/>
      </c>
      <c r="U67" s="18">
        <f t="shared" ref="U67:U130" ca="1" si="23">IF(B67="","",B67+30)</f>
        <v>46326</v>
      </c>
    </row>
    <row r="68" spans="1:21" ht="16.5" x14ac:dyDescent="0.3">
      <c r="A68" s="29"/>
      <c r="B68" s="27">
        <f t="shared" ca="1" si="15"/>
        <v>46296</v>
      </c>
      <c r="C68" s="19" t="str">
        <f>IF(D68="","",INDEX(Clients!B:B,MATCH(D68,Clients!A:A,0)))</f>
        <v>NS-CL-0001</v>
      </c>
      <c r="D68" s="19" t="s">
        <v>9</v>
      </c>
      <c r="E68" s="19"/>
      <c r="F68" s="19"/>
      <c r="G68" s="19"/>
      <c r="H68" s="24"/>
      <c r="I68" s="25" t="str">
        <f>IFERROR(INDEX(Service_Tarifs!$D$2:$D$271,MATCH(F68,Service_Tarifs!$B$2:$B$271,0)),"")</f>
        <v/>
      </c>
      <c r="J68" s="15" t="str">
        <f>IFERROR(INDEX(Service_Tarifs!$F$2:$F$271,MATCH(F68,Service_Tarifs!$B$2:$B$271,0)),"")</f>
        <v/>
      </c>
      <c r="K68" s="16" t="str">
        <f t="shared" si="16"/>
        <v/>
      </c>
      <c r="L68" s="15"/>
      <c r="M68" s="16" t="str">
        <f t="shared" si="17"/>
        <v/>
      </c>
      <c r="N68" s="16" t="str">
        <f t="shared" si="18"/>
        <v/>
      </c>
      <c r="O68" s="16" t="str">
        <f t="shared" si="19"/>
        <v/>
      </c>
      <c r="P68" s="16" t="str">
        <f t="shared" si="20"/>
        <v/>
      </c>
      <c r="Q68" s="30"/>
      <c r="R68" s="16" t="str">
        <f t="shared" si="21"/>
        <v/>
      </c>
      <c r="S68" s="16">
        <v>300000</v>
      </c>
      <c r="T68" s="17" t="str">
        <f t="shared" si="22"/>
        <v/>
      </c>
      <c r="U68" s="18">
        <f t="shared" ca="1" si="23"/>
        <v>46326</v>
      </c>
    </row>
    <row r="69" spans="1:21" ht="16.5" x14ac:dyDescent="0.3">
      <c r="A69" s="29"/>
      <c r="B69" s="27">
        <f t="shared" ca="1" si="15"/>
        <v>46296</v>
      </c>
      <c r="C69" s="19" t="str">
        <f>IF(D69="","",INDEX(Clients!B:B,MATCH(D69,Clients!A:A,0)))</f>
        <v>NS-CL-0001</v>
      </c>
      <c r="D69" s="19" t="s">
        <v>9</v>
      </c>
      <c r="E69" s="19"/>
      <c r="F69" s="19"/>
      <c r="G69" s="19"/>
      <c r="H69" s="24"/>
      <c r="I69" s="25" t="str">
        <f>IFERROR(INDEX(Service_Tarifs!$D$2:$D$271,MATCH(F69,Service_Tarifs!$B$2:$B$271,0)),"")</f>
        <v/>
      </c>
      <c r="J69" s="15" t="str">
        <f>IFERROR(INDEX(Service_Tarifs!$F$2:$F$271,MATCH(F69,Service_Tarifs!$B$2:$B$271,0)),"")</f>
        <v/>
      </c>
      <c r="K69" s="16" t="str">
        <f t="shared" si="16"/>
        <v/>
      </c>
      <c r="L69" s="15"/>
      <c r="M69" s="16" t="str">
        <f t="shared" si="17"/>
        <v/>
      </c>
      <c r="N69" s="16" t="str">
        <f t="shared" si="18"/>
        <v/>
      </c>
      <c r="O69" s="16" t="str">
        <f t="shared" si="19"/>
        <v/>
      </c>
      <c r="P69" s="16" t="str">
        <f t="shared" si="20"/>
        <v/>
      </c>
      <c r="Q69" s="30"/>
      <c r="R69" s="16" t="str">
        <f t="shared" si="21"/>
        <v/>
      </c>
      <c r="S69" s="16">
        <v>300000</v>
      </c>
      <c r="T69" s="17" t="str">
        <f t="shared" si="22"/>
        <v/>
      </c>
      <c r="U69" s="18">
        <f t="shared" ca="1" si="23"/>
        <v>46326</v>
      </c>
    </row>
    <row r="70" spans="1:21" ht="16.5" x14ac:dyDescent="0.3">
      <c r="A70" s="29"/>
      <c r="B70" s="27">
        <f t="shared" ca="1" si="15"/>
        <v>46296</v>
      </c>
      <c r="C70" s="19" t="str">
        <f>IF(D70="","",INDEX(Clients!B:B,MATCH(D70,Clients!A:A,0)))</f>
        <v>NS-CL-0001</v>
      </c>
      <c r="D70" s="19" t="s">
        <v>9</v>
      </c>
      <c r="E70" s="19"/>
      <c r="F70" s="19"/>
      <c r="G70" s="19"/>
      <c r="H70" s="24"/>
      <c r="I70" s="25" t="str">
        <f>IFERROR(INDEX(Service_Tarifs!$D$2:$D$271,MATCH(F70,Service_Tarifs!$B$2:$B$271,0)),"")</f>
        <v/>
      </c>
      <c r="J70" s="15" t="str">
        <f>IFERROR(INDEX(Service_Tarifs!$F$2:$F$271,MATCH(F70,Service_Tarifs!$B$2:$B$271,0)),"")</f>
        <v/>
      </c>
      <c r="K70" s="16" t="str">
        <f t="shared" si="16"/>
        <v/>
      </c>
      <c r="L70" s="15"/>
      <c r="M70" s="16" t="str">
        <f t="shared" si="17"/>
        <v/>
      </c>
      <c r="N70" s="16" t="str">
        <f t="shared" si="18"/>
        <v/>
      </c>
      <c r="O70" s="16" t="str">
        <f t="shared" si="19"/>
        <v/>
      </c>
      <c r="P70" s="16" t="str">
        <f t="shared" si="20"/>
        <v/>
      </c>
      <c r="Q70" s="30"/>
      <c r="R70" s="16" t="str">
        <f t="shared" si="21"/>
        <v/>
      </c>
      <c r="S70" s="16">
        <v>300000</v>
      </c>
      <c r="T70" s="17" t="str">
        <f t="shared" si="22"/>
        <v/>
      </c>
      <c r="U70" s="18">
        <f t="shared" ca="1" si="23"/>
        <v>46326</v>
      </c>
    </row>
    <row r="71" spans="1:21" ht="16.5" x14ac:dyDescent="0.3">
      <c r="A71" s="29"/>
      <c r="B71" s="27">
        <f t="shared" ca="1" si="15"/>
        <v>46296</v>
      </c>
      <c r="C71" s="19" t="str">
        <f>IF(D71="","",INDEX(Clients!B:B,MATCH(D71,Clients!A:A,0)))</f>
        <v>NS-CL-0001</v>
      </c>
      <c r="D71" s="19" t="s">
        <v>9</v>
      </c>
      <c r="E71" s="19"/>
      <c r="F71" s="19"/>
      <c r="G71" s="19"/>
      <c r="H71" s="24"/>
      <c r="I71" s="25" t="str">
        <f>IFERROR(INDEX(Service_Tarifs!$D$2:$D$271,MATCH(F71,Service_Tarifs!$B$2:$B$271,0)),"")</f>
        <v/>
      </c>
      <c r="J71" s="15" t="str">
        <f>IFERROR(INDEX(Service_Tarifs!$F$2:$F$271,MATCH(F71,Service_Tarifs!$B$2:$B$271,0)),"")</f>
        <v/>
      </c>
      <c r="K71" s="16" t="str">
        <f t="shared" si="16"/>
        <v/>
      </c>
      <c r="L71" s="15"/>
      <c r="M71" s="16" t="str">
        <f t="shared" si="17"/>
        <v/>
      </c>
      <c r="N71" s="16" t="str">
        <f t="shared" si="18"/>
        <v/>
      </c>
      <c r="O71" s="16" t="str">
        <f t="shared" si="19"/>
        <v/>
      </c>
      <c r="P71" s="16" t="str">
        <f t="shared" si="20"/>
        <v/>
      </c>
      <c r="Q71" s="30"/>
      <c r="R71" s="16" t="str">
        <f t="shared" si="21"/>
        <v/>
      </c>
      <c r="S71" s="16">
        <v>300000</v>
      </c>
      <c r="T71" s="17" t="str">
        <f t="shared" si="22"/>
        <v/>
      </c>
      <c r="U71" s="18">
        <f t="shared" ca="1" si="23"/>
        <v>46326</v>
      </c>
    </row>
    <row r="72" spans="1:21" ht="16.5" x14ac:dyDescent="0.3">
      <c r="A72" s="29"/>
      <c r="B72" s="27">
        <f t="shared" ca="1" si="15"/>
        <v>46296</v>
      </c>
      <c r="C72" s="19" t="str">
        <f>IF(D72="","",INDEX(Clients!B:B,MATCH(D72,Clients!A:A,0)))</f>
        <v>NS-CL-0001</v>
      </c>
      <c r="D72" s="19" t="s">
        <v>9</v>
      </c>
      <c r="E72" s="19"/>
      <c r="F72" s="19"/>
      <c r="G72" s="19"/>
      <c r="H72" s="24"/>
      <c r="I72" s="25" t="str">
        <f>IFERROR(INDEX(Service_Tarifs!$D$2:$D$271,MATCH(F72,Service_Tarifs!$B$2:$B$271,0)),"")</f>
        <v/>
      </c>
      <c r="J72" s="15" t="str">
        <f>IFERROR(INDEX(Service_Tarifs!$F$2:$F$271,MATCH(F72,Service_Tarifs!$B$2:$B$271,0)),"")</f>
        <v/>
      </c>
      <c r="K72" s="16" t="str">
        <f t="shared" si="16"/>
        <v/>
      </c>
      <c r="L72" s="15"/>
      <c r="M72" s="16" t="str">
        <f t="shared" si="17"/>
        <v/>
      </c>
      <c r="N72" s="16" t="str">
        <f t="shared" si="18"/>
        <v/>
      </c>
      <c r="O72" s="16" t="str">
        <f t="shared" si="19"/>
        <v/>
      </c>
      <c r="P72" s="16" t="str">
        <f t="shared" si="20"/>
        <v/>
      </c>
      <c r="Q72" s="30"/>
      <c r="R72" s="16" t="str">
        <f t="shared" si="21"/>
        <v/>
      </c>
      <c r="S72" s="16">
        <v>300000</v>
      </c>
      <c r="T72" s="17" t="str">
        <f t="shared" si="22"/>
        <v/>
      </c>
      <c r="U72" s="18">
        <f t="shared" ca="1" si="23"/>
        <v>46326</v>
      </c>
    </row>
    <row r="73" spans="1:21" ht="16.5" x14ac:dyDescent="0.3">
      <c r="A73" s="29"/>
      <c r="B73" s="27">
        <f t="shared" ca="1" si="15"/>
        <v>46296</v>
      </c>
      <c r="C73" s="19" t="str">
        <f>IF(D73="","",INDEX(Clients!B:B,MATCH(D73,Clients!A:A,0)))</f>
        <v>NS-CL-0001</v>
      </c>
      <c r="D73" s="19" t="s">
        <v>9</v>
      </c>
      <c r="E73" s="19"/>
      <c r="F73" s="19"/>
      <c r="G73" s="19"/>
      <c r="H73" s="24"/>
      <c r="I73" s="25" t="str">
        <f>IFERROR(INDEX(Service_Tarifs!$D$2:$D$271,MATCH(F73,Service_Tarifs!$B$2:$B$271,0)),"")</f>
        <v/>
      </c>
      <c r="J73" s="15" t="str">
        <f>IFERROR(INDEX(Service_Tarifs!$F$2:$F$271,MATCH(F73,Service_Tarifs!$B$2:$B$271,0)),"")</f>
        <v/>
      </c>
      <c r="K73" s="16" t="str">
        <f t="shared" si="16"/>
        <v/>
      </c>
      <c r="L73" s="15"/>
      <c r="M73" s="16" t="str">
        <f t="shared" si="17"/>
        <v/>
      </c>
      <c r="N73" s="16" t="str">
        <f t="shared" si="18"/>
        <v/>
      </c>
      <c r="O73" s="16" t="str">
        <f t="shared" si="19"/>
        <v/>
      </c>
      <c r="P73" s="16" t="str">
        <f t="shared" si="20"/>
        <v/>
      </c>
      <c r="Q73" s="30"/>
      <c r="R73" s="16" t="str">
        <f t="shared" si="21"/>
        <v/>
      </c>
      <c r="S73" s="16">
        <v>300000</v>
      </c>
      <c r="T73" s="17" t="str">
        <f t="shared" si="22"/>
        <v/>
      </c>
      <c r="U73" s="18">
        <f t="shared" ca="1" si="23"/>
        <v>46326</v>
      </c>
    </row>
    <row r="74" spans="1:21" ht="16.5" x14ac:dyDescent="0.3">
      <c r="A74" s="29"/>
      <c r="B74" s="27">
        <f t="shared" ca="1" si="15"/>
        <v>46296</v>
      </c>
      <c r="C74" s="19" t="str">
        <f>IF(D74="","",INDEX(Clients!B:B,MATCH(D74,Clients!A:A,0)))</f>
        <v>NS-CL-0001</v>
      </c>
      <c r="D74" s="19" t="s">
        <v>9</v>
      </c>
      <c r="E74" s="19"/>
      <c r="F74" s="19"/>
      <c r="G74" s="19"/>
      <c r="H74" s="24"/>
      <c r="I74" s="25" t="str">
        <f>IFERROR(INDEX(Service_Tarifs!$D$2:$D$271,MATCH(F74,Service_Tarifs!$B$2:$B$271,0)),"")</f>
        <v/>
      </c>
      <c r="J74" s="15" t="str">
        <f>IFERROR(INDEX(Service_Tarifs!$F$2:$F$271,MATCH(F74,Service_Tarifs!$B$2:$B$271,0)),"")</f>
        <v/>
      </c>
      <c r="K74" s="16" t="str">
        <f t="shared" si="16"/>
        <v/>
      </c>
      <c r="L74" s="15"/>
      <c r="M74" s="16" t="str">
        <f t="shared" si="17"/>
        <v/>
      </c>
      <c r="N74" s="16" t="str">
        <f t="shared" si="18"/>
        <v/>
      </c>
      <c r="O74" s="16" t="str">
        <f t="shared" si="19"/>
        <v/>
      </c>
      <c r="P74" s="16" t="str">
        <f t="shared" si="20"/>
        <v/>
      </c>
      <c r="Q74" s="30"/>
      <c r="R74" s="16" t="str">
        <f t="shared" si="21"/>
        <v/>
      </c>
      <c r="S74" s="16">
        <v>300000</v>
      </c>
      <c r="T74" s="17" t="str">
        <f t="shared" si="22"/>
        <v/>
      </c>
      <c r="U74" s="18">
        <f t="shared" ca="1" si="23"/>
        <v>46326</v>
      </c>
    </row>
    <row r="75" spans="1:21" ht="16.5" x14ac:dyDescent="0.3">
      <c r="A75" s="29"/>
      <c r="B75" s="27">
        <f t="shared" ca="1" si="15"/>
        <v>46296</v>
      </c>
      <c r="C75" s="19" t="str">
        <f>IF(D75="","",INDEX(Clients!B:B,MATCH(D75,Clients!A:A,0)))</f>
        <v>NS-CL-0001</v>
      </c>
      <c r="D75" s="19" t="s">
        <v>9</v>
      </c>
      <c r="E75" s="19"/>
      <c r="F75" s="19"/>
      <c r="G75" s="19"/>
      <c r="H75" s="24"/>
      <c r="I75" s="25" t="str">
        <f>IFERROR(INDEX(Service_Tarifs!$D$2:$D$271,MATCH(F75,Service_Tarifs!$B$2:$B$271,0)),"")</f>
        <v/>
      </c>
      <c r="J75" s="15" t="str">
        <f>IFERROR(INDEX(Service_Tarifs!$F$2:$F$271,MATCH(F75,Service_Tarifs!$B$2:$B$271,0)),"")</f>
        <v/>
      </c>
      <c r="K75" s="16" t="str">
        <f t="shared" si="16"/>
        <v/>
      </c>
      <c r="L75" s="15"/>
      <c r="M75" s="16" t="str">
        <f t="shared" si="17"/>
        <v/>
      </c>
      <c r="N75" s="16" t="str">
        <f t="shared" si="18"/>
        <v/>
      </c>
      <c r="O75" s="16" t="str">
        <f t="shared" si="19"/>
        <v/>
      </c>
      <c r="P75" s="16" t="str">
        <f t="shared" si="20"/>
        <v/>
      </c>
      <c r="Q75" s="30"/>
      <c r="R75" s="16" t="str">
        <f t="shared" si="21"/>
        <v/>
      </c>
      <c r="S75" s="16">
        <v>300000</v>
      </c>
      <c r="T75" s="17" t="str">
        <f t="shared" si="22"/>
        <v/>
      </c>
      <c r="U75" s="18">
        <f t="shared" ca="1" si="23"/>
        <v>46326</v>
      </c>
    </row>
    <row r="76" spans="1:21" ht="16.5" x14ac:dyDescent="0.3">
      <c r="A76" s="29"/>
      <c r="B76" s="27">
        <f t="shared" ca="1" si="15"/>
        <v>46296</v>
      </c>
      <c r="C76" s="19" t="str">
        <f>IF(D76="","",INDEX(Clients!B:B,MATCH(D76,Clients!A:A,0)))</f>
        <v>NS-CL-0001</v>
      </c>
      <c r="D76" s="19" t="s">
        <v>9</v>
      </c>
      <c r="E76" s="19"/>
      <c r="F76" s="19"/>
      <c r="G76" s="19"/>
      <c r="H76" s="24"/>
      <c r="I76" s="25" t="str">
        <f>IFERROR(INDEX(Service_Tarifs!$D$2:$D$271,MATCH(F76,Service_Tarifs!$B$2:$B$271,0)),"")</f>
        <v/>
      </c>
      <c r="J76" s="15" t="str">
        <f>IFERROR(INDEX(Service_Tarifs!$F$2:$F$271,MATCH(F76,Service_Tarifs!$B$2:$B$271,0)),"")</f>
        <v/>
      </c>
      <c r="K76" s="16" t="str">
        <f t="shared" si="16"/>
        <v/>
      </c>
      <c r="L76" s="15"/>
      <c r="M76" s="16" t="str">
        <f t="shared" si="17"/>
        <v/>
      </c>
      <c r="N76" s="16" t="str">
        <f t="shared" si="18"/>
        <v/>
      </c>
      <c r="O76" s="16" t="str">
        <f t="shared" si="19"/>
        <v/>
      </c>
      <c r="P76" s="16" t="str">
        <f t="shared" si="20"/>
        <v/>
      </c>
      <c r="Q76" s="30"/>
      <c r="R76" s="16" t="str">
        <f t="shared" si="21"/>
        <v/>
      </c>
      <c r="S76" s="16">
        <v>300000</v>
      </c>
      <c r="T76" s="17" t="str">
        <f t="shared" si="22"/>
        <v/>
      </c>
      <c r="U76" s="18">
        <f t="shared" ca="1" si="23"/>
        <v>46326</v>
      </c>
    </row>
    <row r="77" spans="1:21" ht="16.5" x14ac:dyDescent="0.3">
      <c r="A77" s="29"/>
      <c r="B77" s="27">
        <f t="shared" ca="1" si="15"/>
        <v>46296</v>
      </c>
      <c r="C77" s="19" t="str">
        <f>IF(D77="","",INDEX(Clients!B:B,MATCH(D77,Clients!A:A,0)))</f>
        <v>NS-CL-0001</v>
      </c>
      <c r="D77" s="19" t="s">
        <v>9</v>
      </c>
      <c r="E77" s="19"/>
      <c r="F77" s="19"/>
      <c r="G77" s="19"/>
      <c r="H77" s="24"/>
      <c r="I77" s="25" t="str">
        <f>IFERROR(INDEX(Service_Tarifs!$D$2:$D$271,MATCH(F77,Service_Tarifs!$B$2:$B$271,0)),"")</f>
        <v/>
      </c>
      <c r="J77" s="15" t="str">
        <f>IFERROR(INDEX(Service_Tarifs!$F$2:$F$271,MATCH(F77,Service_Tarifs!$B$2:$B$271,0)),"")</f>
        <v/>
      </c>
      <c r="K77" s="16" t="str">
        <f t="shared" si="16"/>
        <v/>
      </c>
      <c r="L77" s="15"/>
      <c r="M77" s="16" t="str">
        <f t="shared" si="17"/>
        <v/>
      </c>
      <c r="N77" s="16" t="str">
        <f t="shared" si="18"/>
        <v/>
      </c>
      <c r="O77" s="16" t="str">
        <f t="shared" si="19"/>
        <v/>
      </c>
      <c r="P77" s="16" t="str">
        <f t="shared" si="20"/>
        <v/>
      </c>
      <c r="Q77" s="30"/>
      <c r="R77" s="16" t="str">
        <f t="shared" si="21"/>
        <v/>
      </c>
      <c r="S77" s="16">
        <v>300000</v>
      </c>
      <c r="T77" s="17" t="str">
        <f t="shared" si="22"/>
        <v/>
      </c>
      <c r="U77" s="18">
        <f t="shared" ca="1" si="23"/>
        <v>46326</v>
      </c>
    </row>
    <row r="78" spans="1:21" ht="16.5" x14ac:dyDescent="0.3">
      <c r="A78" s="29"/>
      <c r="B78" s="27">
        <f t="shared" ca="1" si="15"/>
        <v>46296</v>
      </c>
      <c r="C78" s="19" t="str">
        <f>IF(D78="","",INDEX(Clients!B:B,MATCH(D78,Clients!A:A,0)))</f>
        <v>NS-CL-0001</v>
      </c>
      <c r="D78" s="19" t="s">
        <v>9</v>
      </c>
      <c r="E78" s="19"/>
      <c r="F78" s="19"/>
      <c r="G78" s="19"/>
      <c r="H78" s="24"/>
      <c r="I78" s="25" t="str">
        <f>IFERROR(INDEX(Service_Tarifs!$D$2:$D$271,MATCH(F78,Service_Tarifs!$B$2:$B$271,0)),"")</f>
        <v/>
      </c>
      <c r="J78" s="15" t="str">
        <f>IFERROR(INDEX(Service_Tarifs!$F$2:$F$271,MATCH(F78,Service_Tarifs!$B$2:$B$271,0)),"")</f>
        <v/>
      </c>
      <c r="K78" s="16" t="str">
        <f t="shared" si="16"/>
        <v/>
      </c>
      <c r="L78" s="15"/>
      <c r="M78" s="16" t="str">
        <f t="shared" si="17"/>
        <v/>
      </c>
      <c r="N78" s="16" t="str">
        <f t="shared" si="18"/>
        <v/>
      </c>
      <c r="O78" s="16" t="str">
        <f t="shared" si="19"/>
        <v/>
      </c>
      <c r="P78" s="16" t="str">
        <f t="shared" si="20"/>
        <v/>
      </c>
      <c r="Q78" s="30"/>
      <c r="R78" s="16" t="str">
        <f t="shared" si="21"/>
        <v/>
      </c>
      <c r="S78" s="16">
        <v>300000</v>
      </c>
      <c r="T78" s="17" t="str">
        <f t="shared" si="22"/>
        <v/>
      </c>
      <c r="U78" s="18">
        <f t="shared" ca="1" si="23"/>
        <v>46326</v>
      </c>
    </row>
    <row r="79" spans="1:21" ht="16.5" x14ac:dyDescent="0.3">
      <c r="A79" s="29"/>
      <c r="B79" s="27">
        <f t="shared" ca="1" si="15"/>
        <v>46296</v>
      </c>
      <c r="C79" s="19" t="str">
        <f>IF(D79="","",INDEX(Clients!B:B,MATCH(D79,Clients!A:A,0)))</f>
        <v>NS-CL-0001</v>
      </c>
      <c r="D79" s="19" t="s">
        <v>9</v>
      </c>
      <c r="E79" s="19"/>
      <c r="F79" s="19"/>
      <c r="G79" s="19"/>
      <c r="H79" s="24"/>
      <c r="I79" s="25" t="str">
        <f>IFERROR(INDEX(Service_Tarifs!$D$2:$D$271,MATCH(F79,Service_Tarifs!$B$2:$B$271,0)),"")</f>
        <v/>
      </c>
      <c r="J79" s="15" t="str">
        <f>IFERROR(INDEX(Service_Tarifs!$F$2:$F$271,MATCH(F79,Service_Tarifs!$B$2:$B$271,0)),"")</f>
        <v/>
      </c>
      <c r="K79" s="16" t="str">
        <f t="shared" si="16"/>
        <v/>
      </c>
      <c r="L79" s="15"/>
      <c r="M79" s="16" t="str">
        <f t="shared" si="17"/>
        <v/>
      </c>
      <c r="N79" s="16" t="str">
        <f t="shared" si="18"/>
        <v/>
      </c>
      <c r="O79" s="16" t="str">
        <f t="shared" si="19"/>
        <v/>
      </c>
      <c r="P79" s="16" t="str">
        <f t="shared" si="20"/>
        <v/>
      </c>
      <c r="Q79" s="30"/>
      <c r="R79" s="16" t="str">
        <f t="shared" si="21"/>
        <v/>
      </c>
      <c r="S79" s="16">
        <v>300000</v>
      </c>
      <c r="T79" s="17" t="str">
        <f t="shared" si="22"/>
        <v/>
      </c>
      <c r="U79" s="18">
        <f t="shared" ca="1" si="23"/>
        <v>46326</v>
      </c>
    </row>
    <row r="80" spans="1:21" ht="16.5" x14ac:dyDescent="0.3">
      <c r="A80" s="29"/>
      <c r="B80" s="27">
        <f t="shared" ca="1" si="15"/>
        <v>46296</v>
      </c>
      <c r="C80" s="19" t="str">
        <f>IF(D80="","",INDEX(Clients!B:B,MATCH(D80,Clients!A:A,0)))</f>
        <v>NS-CL-0001</v>
      </c>
      <c r="D80" s="19" t="s">
        <v>9</v>
      </c>
      <c r="E80" s="19"/>
      <c r="F80" s="19"/>
      <c r="G80" s="19"/>
      <c r="H80" s="24"/>
      <c r="I80" s="25" t="str">
        <f>IFERROR(INDEX(Service_Tarifs!$D$2:$D$271,MATCH(F80,Service_Tarifs!$B$2:$B$271,0)),"")</f>
        <v/>
      </c>
      <c r="J80" s="15" t="str">
        <f>IFERROR(INDEX(Service_Tarifs!$F$2:$F$271,MATCH(F80,Service_Tarifs!$B$2:$B$271,0)),"")</f>
        <v/>
      </c>
      <c r="K80" s="16" t="str">
        <f t="shared" si="16"/>
        <v/>
      </c>
      <c r="L80" s="15"/>
      <c r="M80" s="16" t="str">
        <f t="shared" si="17"/>
        <v/>
      </c>
      <c r="N80" s="16" t="str">
        <f t="shared" si="18"/>
        <v/>
      </c>
      <c r="O80" s="16" t="str">
        <f t="shared" si="19"/>
        <v/>
      </c>
      <c r="P80" s="16" t="str">
        <f t="shared" si="20"/>
        <v/>
      </c>
      <c r="Q80" s="30"/>
      <c r="R80" s="16" t="str">
        <f t="shared" si="21"/>
        <v/>
      </c>
      <c r="S80" s="16">
        <v>300000</v>
      </c>
      <c r="T80" s="17" t="str">
        <f t="shared" si="22"/>
        <v/>
      </c>
      <c r="U80" s="18">
        <f t="shared" ca="1" si="23"/>
        <v>46326</v>
      </c>
    </row>
    <row r="81" spans="1:21" ht="16.5" x14ac:dyDescent="0.3">
      <c r="A81" s="29"/>
      <c r="B81" s="27">
        <f t="shared" ca="1" si="15"/>
        <v>46296</v>
      </c>
      <c r="C81" s="19" t="str">
        <f>IF(D81="","",INDEX(Clients!B:B,MATCH(D81,Clients!A:A,0)))</f>
        <v>NS-CL-0001</v>
      </c>
      <c r="D81" s="19" t="s">
        <v>9</v>
      </c>
      <c r="E81" s="19"/>
      <c r="F81" s="19"/>
      <c r="G81" s="19"/>
      <c r="H81" s="24"/>
      <c r="I81" s="25" t="str">
        <f>IFERROR(INDEX(Service_Tarifs!$D$2:$D$271,MATCH(F81,Service_Tarifs!$B$2:$B$271,0)),"")</f>
        <v/>
      </c>
      <c r="J81" s="15" t="str">
        <f>IFERROR(INDEX(Service_Tarifs!$F$2:$F$271,MATCH(F81,Service_Tarifs!$B$2:$B$271,0)),"")</f>
        <v/>
      </c>
      <c r="K81" s="16" t="str">
        <f t="shared" si="16"/>
        <v/>
      </c>
      <c r="L81" s="15"/>
      <c r="M81" s="16" t="str">
        <f t="shared" si="17"/>
        <v/>
      </c>
      <c r="N81" s="16" t="str">
        <f t="shared" si="18"/>
        <v/>
      </c>
      <c r="O81" s="16" t="str">
        <f t="shared" si="19"/>
        <v/>
      </c>
      <c r="P81" s="16" t="str">
        <f t="shared" si="20"/>
        <v/>
      </c>
      <c r="Q81" s="30"/>
      <c r="R81" s="16" t="str">
        <f t="shared" si="21"/>
        <v/>
      </c>
      <c r="S81" s="16">
        <v>300000</v>
      </c>
      <c r="T81" s="17" t="str">
        <f t="shared" si="22"/>
        <v/>
      </c>
      <c r="U81" s="18">
        <f t="shared" ca="1" si="23"/>
        <v>46326</v>
      </c>
    </row>
    <row r="82" spans="1:21" ht="16.5" x14ac:dyDescent="0.3">
      <c r="A82" s="29"/>
      <c r="B82" s="27">
        <f t="shared" ca="1" si="15"/>
        <v>46296</v>
      </c>
      <c r="C82" s="19" t="str">
        <f>IF(D82="","",INDEX(Clients!B:B,MATCH(D82,Clients!A:A,0)))</f>
        <v>NS-CL-0001</v>
      </c>
      <c r="D82" s="19" t="s">
        <v>9</v>
      </c>
      <c r="E82" s="19"/>
      <c r="F82" s="19"/>
      <c r="G82" s="19"/>
      <c r="H82" s="24"/>
      <c r="I82" s="25" t="str">
        <f>IFERROR(INDEX(Service_Tarifs!$D$2:$D$271,MATCH(F82,Service_Tarifs!$B$2:$B$271,0)),"")</f>
        <v/>
      </c>
      <c r="J82" s="15" t="str">
        <f>IFERROR(INDEX(Service_Tarifs!$F$2:$F$271,MATCH(F82,Service_Tarifs!$B$2:$B$271,0)),"")</f>
        <v/>
      </c>
      <c r="K82" s="16" t="str">
        <f t="shared" si="16"/>
        <v/>
      </c>
      <c r="L82" s="15"/>
      <c r="M82" s="16" t="str">
        <f t="shared" si="17"/>
        <v/>
      </c>
      <c r="N82" s="16" t="str">
        <f t="shared" si="18"/>
        <v/>
      </c>
      <c r="O82" s="16" t="str">
        <f t="shared" si="19"/>
        <v/>
      </c>
      <c r="P82" s="16" t="str">
        <f t="shared" si="20"/>
        <v/>
      </c>
      <c r="Q82" s="30"/>
      <c r="R82" s="16" t="str">
        <f t="shared" si="21"/>
        <v/>
      </c>
      <c r="S82" s="16">
        <v>300000</v>
      </c>
      <c r="T82" s="17" t="str">
        <f t="shared" si="22"/>
        <v/>
      </c>
      <c r="U82" s="18">
        <f t="shared" ca="1" si="23"/>
        <v>46326</v>
      </c>
    </row>
    <row r="83" spans="1:21" ht="16.5" x14ac:dyDescent="0.3">
      <c r="A83" s="29"/>
      <c r="B83" s="27">
        <f t="shared" ca="1" si="15"/>
        <v>46296</v>
      </c>
      <c r="C83" s="19" t="str">
        <f>IF(D83="","",INDEX(Clients!B:B,MATCH(D83,Clients!A:A,0)))</f>
        <v>NS-CL-0001</v>
      </c>
      <c r="D83" s="19" t="s">
        <v>9</v>
      </c>
      <c r="E83" s="19"/>
      <c r="F83" s="19"/>
      <c r="G83" s="19"/>
      <c r="H83" s="24"/>
      <c r="I83" s="25" t="str">
        <f>IFERROR(INDEX(Service_Tarifs!$D$2:$D$271,MATCH(F83,Service_Tarifs!$B$2:$B$271,0)),"")</f>
        <v/>
      </c>
      <c r="J83" s="15" t="str">
        <f>IFERROR(INDEX(Service_Tarifs!$F$2:$F$271,MATCH(F83,Service_Tarifs!$B$2:$B$271,0)),"")</f>
        <v/>
      </c>
      <c r="K83" s="16" t="str">
        <f t="shared" si="16"/>
        <v/>
      </c>
      <c r="L83" s="15"/>
      <c r="M83" s="16" t="str">
        <f t="shared" si="17"/>
        <v/>
      </c>
      <c r="N83" s="16" t="str">
        <f t="shared" si="18"/>
        <v/>
      </c>
      <c r="O83" s="16" t="str">
        <f t="shared" si="19"/>
        <v/>
      </c>
      <c r="P83" s="16" t="str">
        <f t="shared" si="20"/>
        <v/>
      </c>
      <c r="Q83" s="30"/>
      <c r="R83" s="16" t="str">
        <f t="shared" si="21"/>
        <v/>
      </c>
      <c r="S83" s="16">
        <v>300000</v>
      </c>
      <c r="T83" s="17" t="str">
        <f t="shared" si="22"/>
        <v/>
      </c>
      <c r="U83" s="18">
        <f t="shared" ca="1" si="23"/>
        <v>46326</v>
      </c>
    </row>
    <row r="84" spans="1:21" ht="16.5" x14ac:dyDescent="0.3">
      <c r="A84" s="29"/>
      <c r="B84" s="27">
        <f t="shared" ca="1" si="15"/>
        <v>46296</v>
      </c>
      <c r="C84" s="19" t="str">
        <f>IF(D84="","",INDEX(Clients!B:B,MATCH(D84,Clients!A:A,0)))</f>
        <v>NS-CL-0001</v>
      </c>
      <c r="D84" s="19" t="s">
        <v>9</v>
      </c>
      <c r="E84" s="19"/>
      <c r="F84" s="19"/>
      <c r="G84" s="19"/>
      <c r="H84" s="24"/>
      <c r="I84" s="25" t="str">
        <f>IFERROR(INDEX(Service_Tarifs!$D$2:$D$271,MATCH(F84,Service_Tarifs!$B$2:$B$271,0)),"")</f>
        <v/>
      </c>
      <c r="J84" s="15" t="str">
        <f>IFERROR(INDEX(Service_Tarifs!$F$2:$F$271,MATCH(F84,Service_Tarifs!$B$2:$B$271,0)),"")</f>
        <v/>
      </c>
      <c r="K84" s="16" t="str">
        <f t="shared" si="16"/>
        <v/>
      </c>
      <c r="L84" s="15"/>
      <c r="M84" s="16" t="str">
        <f t="shared" si="17"/>
        <v/>
      </c>
      <c r="N84" s="16" t="str">
        <f t="shared" si="18"/>
        <v/>
      </c>
      <c r="O84" s="16" t="str">
        <f t="shared" si="19"/>
        <v/>
      </c>
      <c r="P84" s="16" t="str">
        <f t="shared" si="20"/>
        <v/>
      </c>
      <c r="Q84" s="30"/>
      <c r="R84" s="16" t="str">
        <f t="shared" si="21"/>
        <v/>
      </c>
      <c r="S84" s="16">
        <v>300000</v>
      </c>
      <c r="T84" s="17" t="str">
        <f t="shared" si="22"/>
        <v/>
      </c>
      <c r="U84" s="18">
        <f t="shared" ca="1" si="23"/>
        <v>46326</v>
      </c>
    </row>
    <row r="85" spans="1:21" ht="16.5" x14ac:dyDescent="0.3">
      <c r="A85" s="29"/>
      <c r="B85" s="27">
        <f t="shared" ca="1" si="15"/>
        <v>46296</v>
      </c>
      <c r="C85" s="19" t="str">
        <f>IF(D85="","",INDEX(Clients!B:B,MATCH(D85,Clients!A:A,0)))</f>
        <v>NS-CL-0001</v>
      </c>
      <c r="D85" s="19" t="s">
        <v>9</v>
      </c>
      <c r="E85" s="19"/>
      <c r="F85" s="19"/>
      <c r="G85" s="19"/>
      <c r="H85" s="24"/>
      <c r="I85" s="25" t="str">
        <f>IFERROR(INDEX(Service_Tarifs!$D$2:$D$271,MATCH(F85,Service_Tarifs!$B$2:$B$271,0)),"")</f>
        <v/>
      </c>
      <c r="J85" s="15" t="str">
        <f>IFERROR(INDEX(Service_Tarifs!$F$2:$F$271,MATCH(F85,Service_Tarifs!$B$2:$B$271,0)),"")</f>
        <v/>
      </c>
      <c r="K85" s="16" t="str">
        <f t="shared" si="16"/>
        <v/>
      </c>
      <c r="L85" s="15"/>
      <c r="M85" s="16" t="str">
        <f t="shared" si="17"/>
        <v/>
      </c>
      <c r="N85" s="16" t="str">
        <f t="shared" si="18"/>
        <v/>
      </c>
      <c r="O85" s="16" t="str">
        <f t="shared" si="19"/>
        <v/>
      </c>
      <c r="P85" s="16" t="str">
        <f t="shared" si="20"/>
        <v/>
      </c>
      <c r="Q85" s="30"/>
      <c r="R85" s="16" t="str">
        <f t="shared" si="21"/>
        <v/>
      </c>
      <c r="S85" s="16">
        <v>300000</v>
      </c>
      <c r="T85" s="17" t="str">
        <f t="shared" si="22"/>
        <v/>
      </c>
      <c r="U85" s="18">
        <f t="shared" ca="1" si="23"/>
        <v>46326</v>
      </c>
    </row>
    <row r="86" spans="1:21" ht="16.5" x14ac:dyDescent="0.3">
      <c r="A86" s="29"/>
      <c r="B86" s="27">
        <f t="shared" ca="1" si="15"/>
        <v>46296</v>
      </c>
      <c r="C86" s="19" t="str">
        <f>IF(D86="","",INDEX(Clients!B:B,MATCH(D86,Clients!A:A,0)))</f>
        <v>NS-CL-0001</v>
      </c>
      <c r="D86" s="19" t="s">
        <v>9</v>
      </c>
      <c r="E86" s="19"/>
      <c r="F86" s="19"/>
      <c r="G86" s="19"/>
      <c r="H86" s="24"/>
      <c r="I86" s="25" t="str">
        <f>IFERROR(INDEX(Service_Tarifs!$D$2:$D$271,MATCH(F86,Service_Tarifs!$B$2:$B$271,0)),"")</f>
        <v/>
      </c>
      <c r="J86" s="15" t="str">
        <f>IFERROR(INDEX(Service_Tarifs!$F$2:$F$271,MATCH(F86,Service_Tarifs!$B$2:$B$271,0)),"")</f>
        <v/>
      </c>
      <c r="K86" s="16" t="str">
        <f t="shared" si="16"/>
        <v/>
      </c>
      <c r="L86" s="15"/>
      <c r="M86" s="16" t="str">
        <f t="shared" si="17"/>
        <v/>
      </c>
      <c r="N86" s="16" t="str">
        <f t="shared" si="18"/>
        <v/>
      </c>
      <c r="O86" s="16" t="str">
        <f t="shared" si="19"/>
        <v/>
      </c>
      <c r="P86" s="16" t="str">
        <f t="shared" si="20"/>
        <v/>
      </c>
      <c r="Q86" s="30"/>
      <c r="R86" s="16" t="str">
        <f t="shared" si="21"/>
        <v/>
      </c>
      <c r="S86" s="16">
        <v>300000</v>
      </c>
      <c r="T86" s="17" t="str">
        <f t="shared" si="22"/>
        <v/>
      </c>
      <c r="U86" s="18">
        <f t="shared" ca="1" si="23"/>
        <v>46326</v>
      </c>
    </row>
    <row r="87" spans="1:21" ht="16.5" x14ac:dyDescent="0.3">
      <c r="A87" s="29"/>
      <c r="B87" s="27">
        <f t="shared" ca="1" si="15"/>
        <v>46296</v>
      </c>
      <c r="C87" s="19" t="str">
        <f>IF(D87="","",INDEX(Clients!B:B,MATCH(D87,Clients!A:A,0)))</f>
        <v>NS-CL-0001</v>
      </c>
      <c r="D87" s="19" t="s">
        <v>9</v>
      </c>
      <c r="E87" s="19"/>
      <c r="F87" s="19"/>
      <c r="G87" s="19"/>
      <c r="H87" s="24"/>
      <c r="I87" s="25" t="str">
        <f>IFERROR(INDEX(Service_Tarifs!$D$2:$D$271,MATCH(F87,Service_Tarifs!$B$2:$B$271,0)),"")</f>
        <v/>
      </c>
      <c r="J87" s="15" t="str">
        <f>IFERROR(INDEX(Service_Tarifs!$F$2:$F$271,MATCH(F87,Service_Tarifs!$B$2:$B$271,0)),"")</f>
        <v/>
      </c>
      <c r="K87" s="16" t="str">
        <f t="shared" si="16"/>
        <v/>
      </c>
      <c r="L87" s="15"/>
      <c r="M87" s="16" t="str">
        <f t="shared" si="17"/>
        <v/>
      </c>
      <c r="N87" s="16" t="str">
        <f t="shared" si="18"/>
        <v/>
      </c>
      <c r="O87" s="16" t="str">
        <f t="shared" si="19"/>
        <v/>
      </c>
      <c r="P87" s="16" t="str">
        <f t="shared" si="20"/>
        <v/>
      </c>
      <c r="Q87" s="30"/>
      <c r="R87" s="16" t="str">
        <f t="shared" si="21"/>
        <v/>
      </c>
      <c r="S87" s="16">
        <v>300000</v>
      </c>
      <c r="T87" s="17" t="str">
        <f t="shared" si="22"/>
        <v/>
      </c>
      <c r="U87" s="18">
        <f t="shared" ca="1" si="23"/>
        <v>46326</v>
      </c>
    </row>
    <row r="88" spans="1:21" ht="16.5" x14ac:dyDescent="0.3">
      <c r="A88" s="29"/>
      <c r="B88" s="27">
        <f t="shared" ca="1" si="15"/>
        <v>46296</v>
      </c>
      <c r="C88" s="19" t="str">
        <f>IF(D88="","",INDEX(Clients!B:B,MATCH(D88,Clients!A:A,0)))</f>
        <v>NS-CL-0001</v>
      </c>
      <c r="D88" s="19" t="s">
        <v>9</v>
      </c>
      <c r="E88" s="19"/>
      <c r="F88" s="19"/>
      <c r="G88" s="19"/>
      <c r="H88" s="24"/>
      <c r="I88" s="25" t="str">
        <f>IFERROR(INDEX(Service_Tarifs!$D$2:$D$271,MATCH(F88,Service_Tarifs!$B$2:$B$271,0)),"")</f>
        <v/>
      </c>
      <c r="J88" s="15" t="str">
        <f>IFERROR(INDEX(Service_Tarifs!$F$2:$F$271,MATCH(F88,Service_Tarifs!$B$2:$B$271,0)),"")</f>
        <v/>
      </c>
      <c r="K88" s="16" t="str">
        <f t="shared" si="16"/>
        <v/>
      </c>
      <c r="L88" s="15"/>
      <c r="M88" s="16" t="str">
        <f t="shared" si="17"/>
        <v/>
      </c>
      <c r="N88" s="16" t="str">
        <f t="shared" si="18"/>
        <v/>
      </c>
      <c r="O88" s="16" t="str">
        <f t="shared" si="19"/>
        <v/>
      </c>
      <c r="P88" s="16" t="str">
        <f t="shared" si="20"/>
        <v/>
      </c>
      <c r="Q88" s="30"/>
      <c r="R88" s="16" t="str">
        <f t="shared" si="21"/>
        <v/>
      </c>
      <c r="S88" s="16">
        <v>300000</v>
      </c>
      <c r="T88" s="17" t="str">
        <f t="shared" si="22"/>
        <v/>
      </c>
      <c r="U88" s="18">
        <f t="shared" ca="1" si="23"/>
        <v>46326</v>
      </c>
    </row>
    <row r="89" spans="1:21" ht="16.5" x14ac:dyDescent="0.3">
      <c r="A89" s="29"/>
      <c r="B89" s="27">
        <f t="shared" ca="1" si="15"/>
        <v>46296</v>
      </c>
      <c r="C89" s="19" t="str">
        <f>IF(D89="","",INDEX(Clients!B:B,MATCH(D89,Clients!A:A,0)))</f>
        <v>NS-CL-0001</v>
      </c>
      <c r="D89" s="19" t="s">
        <v>9</v>
      </c>
      <c r="E89" s="19"/>
      <c r="F89" s="19"/>
      <c r="G89" s="19"/>
      <c r="H89" s="24"/>
      <c r="I89" s="25" t="str">
        <f>IFERROR(INDEX(Service_Tarifs!$D$2:$D$271,MATCH(F89,Service_Tarifs!$B$2:$B$271,0)),"")</f>
        <v/>
      </c>
      <c r="J89" s="15" t="str">
        <f>IFERROR(INDEX(Service_Tarifs!$F$2:$F$271,MATCH(F89,Service_Tarifs!$B$2:$B$271,0)),"")</f>
        <v/>
      </c>
      <c r="K89" s="16" t="str">
        <f t="shared" si="16"/>
        <v/>
      </c>
      <c r="L89" s="15"/>
      <c r="M89" s="16" t="str">
        <f t="shared" si="17"/>
        <v/>
      </c>
      <c r="N89" s="16" t="str">
        <f t="shared" si="18"/>
        <v/>
      </c>
      <c r="O89" s="16" t="str">
        <f t="shared" si="19"/>
        <v/>
      </c>
      <c r="P89" s="16" t="str">
        <f t="shared" si="20"/>
        <v/>
      </c>
      <c r="Q89" s="30"/>
      <c r="R89" s="16" t="str">
        <f t="shared" si="21"/>
        <v/>
      </c>
      <c r="S89" s="16">
        <v>300000</v>
      </c>
      <c r="T89" s="17" t="str">
        <f t="shared" si="22"/>
        <v/>
      </c>
      <c r="U89" s="18">
        <f t="shared" ca="1" si="23"/>
        <v>46326</v>
      </c>
    </row>
    <row r="90" spans="1:21" ht="16.5" x14ac:dyDescent="0.3">
      <c r="A90" s="29"/>
      <c r="B90" s="27">
        <f t="shared" ca="1" si="15"/>
        <v>46296</v>
      </c>
      <c r="C90" s="19" t="str">
        <f>IF(D90="","",INDEX(Clients!B:B,MATCH(D90,Clients!A:A,0)))</f>
        <v>NS-CL-0001</v>
      </c>
      <c r="D90" s="19" t="s">
        <v>9</v>
      </c>
      <c r="E90" s="19"/>
      <c r="F90" s="19"/>
      <c r="G90" s="19"/>
      <c r="H90" s="24"/>
      <c r="I90" s="25" t="str">
        <f>IFERROR(INDEX(Service_Tarifs!$D$2:$D$271,MATCH(F90,Service_Tarifs!$B$2:$B$271,0)),"")</f>
        <v/>
      </c>
      <c r="J90" s="15" t="str">
        <f>IFERROR(INDEX(Service_Tarifs!$F$2:$F$271,MATCH(F90,Service_Tarifs!$B$2:$B$271,0)),"")</f>
        <v/>
      </c>
      <c r="K90" s="16" t="str">
        <f t="shared" si="16"/>
        <v/>
      </c>
      <c r="L90" s="15"/>
      <c r="M90" s="16" t="str">
        <f t="shared" si="17"/>
        <v/>
      </c>
      <c r="N90" s="16" t="str">
        <f t="shared" si="18"/>
        <v/>
      </c>
      <c r="O90" s="16" t="str">
        <f t="shared" si="19"/>
        <v/>
      </c>
      <c r="P90" s="16" t="str">
        <f t="shared" si="20"/>
        <v/>
      </c>
      <c r="Q90" s="30"/>
      <c r="R90" s="16" t="str">
        <f t="shared" si="21"/>
        <v/>
      </c>
      <c r="S90" s="16">
        <v>300000</v>
      </c>
      <c r="T90" s="17" t="str">
        <f t="shared" si="22"/>
        <v/>
      </c>
      <c r="U90" s="18">
        <f t="shared" ca="1" si="23"/>
        <v>46326</v>
      </c>
    </row>
    <row r="91" spans="1:21" ht="16.5" x14ac:dyDescent="0.3">
      <c r="A91" s="29"/>
      <c r="B91" s="27">
        <f t="shared" ca="1" si="15"/>
        <v>46296</v>
      </c>
      <c r="C91" s="19" t="str">
        <f>IF(D91="","",INDEX(Clients!B:B,MATCH(D91,Clients!A:A,0)))</f>
        <v>NS-CL-0001</v>
      </c>
      <c r="D91" s="19" t="s">
        <v>9</v>
      </c>
      <c r="E91" s="19"/>
      <c r="F91" s="19"/>
      <c r="G91" s="19"/>
      <c r="H91" s="24"/>
      <c r="I91" s="25" t="str">
        <f>IFERROR(INDEX(Service_Tarifs!$D$2:$D$271,MATCH(F91,Service_Tarifs!$B$2:$B$271,0)),"")</f>
        <v/>
      </c>
      <c r="J91" s="15" t="str">
        <f>IFERROR(INDEX(Service_Tarifs!$F$2:$F$271,MATCH(F91,Service_Tarifs!$B$2:$B$271,0)),"")</f>
        <v/>
      </c>
      <c r="K91" s="16" t="str">
        <f t="shared" si="16"/>
        <v/>
      </c>
      <c r="L91" s="15"/>
      <c r="M91" s="16" t="str">
        <f t="shared" si="17"/>
        <v/>
      </c>
      <c r="N91" s="16" t="str">
        <f t="shared" si="18"/>
        <v/>
      </c>
      <c r="O91" s="16" t="str">
        <f t="shared" si="19"/>
        <v/>
      </c>
      <c r="P91" s="16" t="str">
        <f t="shared" si="20"/>
        <v/>
      </c>
      <c r="Q91" s="30"/>
      <c r="R91" s="16" t="str">
        <f t="shared" si="21"/>
        <v/>
      </c>
      <c r="S91" s="16">
        <v>300000</v>
      </c>
      <c r="T91" s="17" t="str">
        <f t="shared" si="22"/>
        <v/>
      </c>
      <c r="U91" s="18">
        <f t="shared" ca="1" si="23"/>
        <v>46326</v>
      </c>
    </row>
    <row r="92" spans="1:21" ht="16.5" x14ac:dyDescent="0.3">
      <c r="A92" s="29"/>
      <c r="B92" s="27">
        <f t="shared" ca="1" si="15"/>
        <v>46296</v>
      </c>
      <c r="C92" s="19" t="str">
        <f>IF(D92="","",INDEX(Clients!B:B,MATCH(D92,Clients!A:A,0)))</f>
        <v>NS-CL-0001</v>
      </c>
      <c r="D92" s="19" t="s">
        <v>9</v>
      </c>
      <c r="E92" s="19"/>
      <c r="F92" s="19"/>
      <c r="G92" s="19"/>
      <c r="H92" s="24"/>
      <c r="I92" s="25" t="str">
        <f>IFERROR(INDEX(Service_Tarifs!$D$2:$D$271,MATCH(F92,Service_Tarifs!$B$2:$B$271,0)),"")</f>
        <v/>
      </c>
      <c r="J92" s="15" t="str">
        <f>IFERROR(INDEX(Service_Tarifs!$F$2:$F$271,MATCH(F92,Service_Tarifs!$B$2:$B$271,0)),"")</f>
        <v/>
      </c>
      <c r="K92" s="16" t="str">
        <f t="shared" si="16"/>
        <v/>
      </c>
      <c r="L92" s="15"/>
      <c r="M92" s="16" t="str">
        <f t="shared" si="17"/>
        <v/>
      </c>
      <c r="N92" s="16" t="str">
        <f t="shared" si="18"/>
        <v/>
      </c>
      <c r="O92" s="16" t="str">
        <f t="shared" si="19"/>
        <v/>
      </c>
      <c r="P92" s="16" t="str">
        <f t="shared" si="20"/>
        <v/>
      </c>
      <c r="Q92" s="30"/>
      <c r="R92" s="16" t="str">
        <f t="shared" si="21"/>
        <v/>
      </c>
      <c r="S92" s="16">
        <v>300000</v>
      </c>
      <c r="T92" s="17" t="str">
        <f t="shared" si="22"/>
        <v/>
      </c>
      <c r="U92" s="18">
        <f t="shared" ca="1" si="23"/>
        <v>46326</v>
      </c>
    </row>
    <row r="93" spans="1:21" ht="16.5" x14ac:dyDescent="0.3">
      <c r="A93" s="29"/>
      <c r="B93" s="27">
        <f t="shared" ca="1" si="15"/>
        <v>46296</v>
      </c>
      <c r="C93" s="19" t="str">
        <f>IF(D93="","",INDEX(Clients!B:B,MATCH(D93,Clients!A:A,0)))</f>
        <v>NS-CL-0001</v>
      </c>
      <c r="D93" s="19" t="s">
        <v>9</v>
      </c>
      <c r="E93" s="19"/>
      <c r="F93" s="19"/>
      <c r="G93" s="19"/>
      <c r="H93" s="24"/>
      <c r="I93" s="25" t="str">
        <f>IFERROR(INDEX(Service_Tarifs!$D$2:$D$271,MATCH(F93,Service_Tarifs!$B$2:$B$271,0)),"")</f>
        <v/>
      </c>
      <c r="J93" s="15" t="str">
        <f>IFERROR(INDEX(Service_Tarifs!$F$2:$F$271,MATCH(F93,Service_Tarifs!$B$2:$B$271,0)),"")</f>
        <v/>
      </c>
      <c r="K93" s="16" t="str">
        <f t="shared" si="16"/>
        <v/>
      </c>
      <c r="L93" s="15"/>
      <c r="M93" s="16" t="str">
        <f t="shared" si="17"/>
        <v/>
      </c>
      <c r="N93" s="16" t="str">
        <f t="shared" si="18"/>
        <v/>
      </c>
      <c r="O93" s="16" t="str">
        <f t="shared" si="19"/>
        <v/>
      </c>
      <c r="P93" s="16" t="str">
        <f t="shared" si="20"/>
        <v/>
      </c>
      <c r="Q93" s="30"/>
      <c r="R93" s="16" t="str">
        <f t="shared" si="21"/>
        <v/>
      </c>
      <c r="S93" s="16">
        <v>300000</v>
      </c>
      <c r="T93" s="17" t="str">
        <f t="shared" si="22"/>
        <v/>
      </c>
      <c r="U93" s="18">
        <f t="shared" ca="1" si="23"/>
        <v>46326</v>
      </c>
    </row>
    <row r="94" spans="1:21" ht="16.5" x14ac:dyDescent="0.3">
      <c r="A94" s="29"/>
      <c r="B94" s="27">
        <f t="shared" ca="1" si="15"/>
        <v>46296</v>
      </c>
      <c r="C94" s="19" t="str">
        <f>IF(D94="","",INDEX(Clients!B:B,MATCH(D94,Clients!A:A,0)))</f>
        <v>NS-CL-0001</v>
      </c>
      <c r="D94" s="19" t="s">
        <v>9</v>
      </c>
      <c r="E94" s="19"/>
      <c r="F94" s="19"/>
      <c r="G94" s="19"/>
      <c r="H94" s="24"/>
      <c r="I94" s="25" t="str">
        <f>IFERROR(INDEX(Service_Tarifs!$D$2:$D$271,MATCH(F94,Service_Tarifs!$B$2:$B$271,0)),"")</f>
        <v/>
      </c>
      <c r="J94" s="15" t="str">
        <f>IFERROR(INDEX(Service_Tarifs!$F$2:$F$271,MATCH(F94,Service_Tarifs!$B$2:$B$271,0)),"")</f>
        <v/>
      </c>
      <c r="K94" s="16" t="str">
        <f t="shared" si="16"/>
        <v/>
      </c>
      <c r="L94" s="15"/>
      <c r="M94" s="16" t="str">
        <f t="shared" si="17"/>
        <v/>
      </c>
      <c r="N94" s="16" t="str">
        <f t="shared" si="18"/>
        <v/>
      </c>
      <c r="O94" s="16" t="str">
        <f t="shared" si="19"/>
        <v/>
      </c>
      <c r="P94" s="16" t="str">
        <f t="shared" si="20"/>
        <v/>
      </c>
      <c r="Q94" s="30"/>
      <c r="R94" s="16" t="str">
        <f t="shared" si="21"/>
        <v/>
      </c>
      <c r="S94" s="16">
        <v>300000</v>
      </c>
      <c r="T94" s="17" t="str">
        <f t="shared" si="22"/>
        <v/>
      </c>
      <c r="U94" s="18">
        <f t="shared" ca="1" si="23"/>
        <v>46326</v>
      </c>
    </row>
    <row r="95" spans="1:21" ht="16.5" x14ac:dyDescent="0.3">
      <c r="A95" s="29"/>
      <c r="B95" s="27">
        <f t="shared" ca="1" si="15"/>
        <v>46296</v>
      </c>
      <c r="C95" s="19" t="str">
        <f>IF(D95="","",INDEX(Clients!B:B,MATCH(D95,Clients!A:A,0)))</f>
        <v>NS-CL-0001</v>
      </c>
      <c r="D95" s="19" t="s">
        <v>9</v>
      </c>
      <c r="E95" s="19"/>
      <c r="F95" s="19"/>
      <c r="G95" s="19"/>
      <c r="H95" s="24"/>
      <c r="I95" s="25" t="str">
        <f>IFERROR(INDEX(Service_Tarifs!$D$2:$D$271,MATCH(F95,Service_Tarifs!$B$2:$B$271,0)),"")</f>
        <v/>
      </c>
      <c r="J95" s="15" t="str">
        <f>IFERROR(INDEX(Service_Tarifs!$F$2:$F$271,MATCH(F95,Service_Tarifs!$B$2:$B$271,0)),"")</f>
        <v/>
      </c>
      <c r="K95" s="16" t="str">
        <f t="shared" si="16"/>
        <v/>
      </c>
      <c r="L95" s="15"/>
      <c r="M95" s="16" t="str">
        <f t="shared" si="17"/>
        <v/>
      </c>
      <c r="N95" s="16" t="str">
        <f t="shared" si="18"/>
        <v/>
      </c>
      <c r="O95" s="16" t="str">
        <f t="shared" si="19"/>
        <v/>
      </c>
      <c r="P95" s="16" t="str">
        <f t="shared" si="20"/>
        <v/>
      </c>
      <c r="Q95" s="30"/>
      <c r="R95" s="16" t="str">
        <f t="shared" si="21"/>
        <v/>
      </c>
      <c r="S95" s="16">
        <v>300000</v>
      </c>
      <c r="T95" s="17" t="str">
        <f t="shared" si="22"/>
        <v/>
      </c>
      <c r="U95" s="18">
        <f t="shared" ca="1" si="23"/>
        <v>46326</v>
      </c>
    </row>
    <row r="96" spans="1:21" ht="16.5" x14ac:dyDescent="0.3">
      <c r="A96" s="29"/>
      <c r="B96" s="27">
        <f t="shared" ca="1" si="15"/>
        <v>46296</v>
      </c>
      <c r="C96" s="19" t="str">
        <f>IF(D96="","",INDEX(Clients!B:B,MATCH(D96,Clients!A:A,0)))</f>
        <v>NS-CL-0001</v>
      </c>
      <c r="D96" s="19" t="s">
        <v>9</v>
      </c>
      <c r="E96" s="19"/>
      <c r="F96" s="19"/>
      <c r="G96" s="19"/>
      <c r="H96" s="24"/>
      <c r="I96" s="25" t="str">
        <f>IFERROR(INDEX(Service_Tarifs!$D$2:$D$271,MATCH(F96,Service_Tarifs!$B$2:$B$271,0)),"")</f>
        <v/>
      </c>
      <c r="J96" s="15" t="str">
        <f>IFERROR(INDEX(Service_Tarifs!$F$2:$F$271,MATCH(F96,Service_Tarifs!$B$2:$B$271,0)),"")</f>
        <v/>
      </c>
      <c r="K96" s="16" t="str">
        <f t="shared" si="16"/>
        <v/>
      </c>
      <c r="L96" s="15"/>
      <c r="M96" s="16" t="str">
        <f t="shared" si="17"/>
        <v/>
      </c>
      <c r="N96" s="16" t="str">
        <f t="shared" si="18"/>
        <v/>
      </c>
      <c r="O96" s="16" t="str">
        <f t="shared" si="19"/>
        <v/>
      </c>
      <c r="P96" s="16" t="str">
        <f t="shared" si="20"/>
        <v/>
      </c>
      <c r="Q96" s="30"/>
      <c r="R96" s="16" t="str">
        <f t="shared" si="21"/>
        <v/>
      </c>
      <c r="S96" s="16">
        <v>300000</v>
      </c>
      <c r="T96" s="17" t="str">
        <f t="shared" si="22"/>
        <v/>
      </c>
      <c r="U96" s="18">
        <f t="shared" ca="1" si="23"/>
        <v>46326</v>
      </c>
    </row>
    <row r="97" spans="1:21" ht="16.5" x14ac:dyDescent="0.3">
      <c r="A97" s="29"/>
      <c r="B97" s="27">
        <f t="shared" ca="1" si="15"/>
        <v>46296</v>
      </c>
      <c r="C97" s="19" t="str">
        <f>IF(D97="","",INDEX(Clients!B:B,MATCH(D97,Clients!A:A,0)))</f>
        <v>NS-CL-0001</v>
      </c>
      <c r="D97" s="19" t="s">
        <v>9</v>
      </c>
      <c r="E97" s="19"/>
      <c r="F97" s="19"/>
      <c r="G97" s="19"/>
      <c r="H97" s="24"/>
      <c r="I97" s="25" t="str">
        <f>IFERROR(INDEX(Service_Tarifs!$D$2:$D$271,MATCH(F97,Service_Tarifs!$B$2:$B$271,0)),"")</f>
        <v/>
      </c>
      <c r="J97" s="15" t="str">
        <f>IFERROR(INDEX(Service_Tarifs!$F$2:$F$271,MATCH(F97,Service_Tarifs!$B$2:$B$271,0)),"")</f>
        <v/>
      </c>
      <c r="K97" s="16" t="str">
        <f t="shared" si="16"/>
        <v/>
      </c>
      <c r="L97" s="15"/>
      <c r="M97" s="16" t="str">
        <f t="shared" si="17"/>
        <v/>
      </c>
      <c r="N97" s="16" t="str">
        <f t="shared" si="18"/>
        <v/>
      </c>
      <c r="O97" s="16" t="str">
        <f t="shared" si="19"/>
        <v/>
      </c>
      <c r="P97" s="16" t="str">
        <f t="shared" si="20"/>
        <v/>
      </c>
      <c r="Q97" s="30"/>
      <c r="R97" s="16" t="str">
        <f t="shared" si="21"/>
        <v/>
      </c>
      <c r="S97" s="16">
        <v>300000</v>
      </c>
      <c r="T97" s="17" t="str">
        <f t="shared" si="22"/>
        <v/>
      </c>
      <c r="U97" s="18">
        <f t="shared" ca="1" si="23"/>
        <v>46326</v>
      </c>
    </row>
    <row r="98" spans="1:21" ht="16.5" x14ac:dyDescent="0.3">
      <c r="A98" s="29"/>
      <c r="B98" s="27">
        <f t="shared" ca="1" si="15"/>
        <v>46296</v>
      </c>
      <c r="C98" s="19" t="str">
        <f>IF(D98="","",INDEX(Clients!B:B,MATCH(D98,Clients!A:A,0)))</f>
        <v>NS-CL-0001</v>
      </c>
      <c r="D98" s="19" t="s">
        <v>9</v>
      </c>
      <c r="E98" s="19"/>
      <c r="F98" s="19"/>
      <c r="G98" s="19"/>
      <c r="H98" s="24"/>
      <c r="I98" s="25" t="str">
        <f>IFERROR(INDEX(Service_Tarifs!$D$2:$D$271,MATCH(F98,Service_Tarifs!$B$2:$B$271,0)),"")</f>
        <v/>
      </c>
      <c r="J98" s="15" t="str">
        <f>IFERROR(INDEX(Service_Tarifs!$F$2:$F$271,MATCH(F98,Service_Tarifs!$B$2:$B$271,0)),"")</f>
        <v/>
      </c>
      <c r="K98" s="16" t="str">
        <f t="shared" si="16"/>
        <v/>
      </c>
      <c r="L98" s="15"/>
      <c r="M98" s="16" t="str">
        <f t="shared" si="17"/>
        <v/>
      </c>
      <c r="N98" s="16" t="str">
        <f t="shared" si="18"/>
        <v/>
      </c>
      <c r="O98" s="16" t="str">
        <f t="shared" si="19"/>
        <v/>
      </c>
      <c r="P98" s="16" t="str">
        <f t="shared" si="20"/>
        <v/>
      </c>
      <c r="Q98" s="30"/>
      <c r="R98" s="16" t="str">
        <f t="shared" si="21"/>
        <v/>
      </c>
      <c r="S98" s="16">
        <v>300000</v>
      </c>
      <c r="T98" s="17" t="str">
        <f t="shared" si="22"/>
        <v/>
      </c>
      <c r="U98" s="18">
        <f t="shared" ca="1" si="23"/>
        <v>46326</v>
      </c>
    </row>
    <row r="99" spans="1:21" ht="16.5" x14ac:dyDescent="0.3">
      <c r="A99" s="29"/>
      <c r="B99" s="27">
        <f t="shared" ca="1" si="15"/>
        <v>46296</v>
      </c>
      <c r="C99" s="19" t="str">
        <f>IF(D99="","",INDEX(Clients!B:B,MATCH(D99,Clients!A:A,0)))</f>
        <v>NS-CL-0001</v>
      </c>
      <c r="D99" s="19" t="s">
        <v>9</v>
      </c>
      <c r="E99" s="19"/>
      <c r="F99" s="19"/>
      <c r="G99" s="19"/>
      <c r="H99" s="24"/>
      <c r="I99" s="25" t="str">
        <f>IFERROR(INDEX(Service_Tarifs!$D$2:$D$271,MATCH(F99,Service_Tarifs!$B$2:$B$271,0)),"")</f>
        <v/>
      </c>
      <c r="J99" s="15" t="str">
        <f>IFERROR(INDEX(Service_Tarifs!$F$2:$F$271,MATCH(F99,Service_Tarifs!$B$2:$B$271,0)),"")</f>
        <v/>
      </c>
      <c r="K99" s="16" t="str">
        <f t="shared" si="16"/>
        <v/>
      </c>
      <c r="L99" s="15"/>
      <c r="M99" s="16" t="str">
        <f t="shared" si="17"/>
        <v/>
      </c>
      <c r="N99" s="16" t="str">
        <f t="shared" si="18"/>
        <v/>
      </c>
      <c r="O99" s="16" t="str">
        <f t="shared" si="19"/>
        <v/>
      </c>
      <c r="P99" s="16" t="str">
        <f t="shared" si="20"/>
        <v/>
      </c>
      <c r="Q99" s="30"/>
      <c r="R99" s="16" t="str">
        <f t="shared" si="21"/>
        <v/>
      </c>
      <c r="S99" s="16">
        <v>300000</v>
      </c>
      <c r="T99" s="17" t="str">
        <f t="shared" si="22"/>
        <v/>
      </c>
      <c r="U99" s="18">
        <f t="shared" ca="1" si="23"/>
        <v>46326</v>
      </c>
    </row>
    <row r="100" spans="1:21" ht="16.5" x14ac:dyDescent="0.3">
      <c r="A100" s="29"/>
      <c r="B100" s="27">
        <f t="shared" ca="1" si="15"/>
        <v>46296</v>
      </c>
      <c r="C100" s="19" t="str">
        <f>IF(D100="","",INDEX(Clients!B:B,MATCH(D100,Clients!A:A,0)))</f>
        <v>NS-CL-0001</v>
      </c>
      <c r="D100" s="19" t="s">
        <v>9</v>
      </c>
      <c r="E100" s="19"/>
      <c r="F100" s="19"/>
      <c r="G100" s="19"/>
      <c r="H100" s="24"/>
      <c r="I100" s="25" t="str">
        <f>IFERROR(INDEX(Service_Tarifs!$D$2:$D$271,MATCH(F100,Service_Tarifs!$B$2:$B$271,0)),"")</f>
        <v/>
      </c>
      <c r="J100" s="15" t="str">
        <f>IFERROR(INDEX(Service_Tarifs!$F$2:$F$271,MATCH(F100,Service_Tarifs!$B$2:$B$271,0)),"")</f>
        <v/>
      </c>
      <c r="K100" s="16" t="str">
        <f t="shared" si="16"/>
        <v/>
      </c>
      <c r="L100" s="15"/>
      <c r="M100" s="16" t="str">
        <f t="shared" si="17"/>
        <v/>
      </c>
      <c r="N100" s="16" t="str">
        <f t="shared" si="18"/>
        <v/>
      </c>
      <c r="O100" s="16" t="str">
        <f t="shared" si="19"/>
        <v/>
      </c>
      <c r="P100" s="16" t="str">
        <f t="shared" si="20"/>
        <v/>
      </c>
      <c r="Q100" s="30"/>
      <c r="R100" s="16" t="str">
        <f t="shared" si="21"/>
        <v/>
      </c>
      <c r="S100" s="16">
        <v>300000</v>
      </c>
      <c r="T100" s="17" t="str">
        <f t="shared" si="22"/>
        <v/>
      </c>
      <c r="U100" s="18">
        <f t="shared" ca="1" si="23"/>
        <v>46326</v>
      </c>
    </row>
    <row r="101" spans="1:21" ht="16.5" x14ac:dyDescent="0.3">
      <c r="A101" s="29"/>
      <c r="B101" s="27">
        <f t="shared" ca="1" si="15"/>
        <v>46296</v>
      </c>
      <c r="C101" s="19" t="str">
        <f>IF(D101="","",INDEX(Clients!B:B,MATCH(D101,Clients!A:A,0)))</f>
        <v>NS-CL-0001</v>
      </c>
      <c r="D101" s="19" t="s">
        <v>9</v>
      </c>
      <c r="E101" s="19"/>
      <c r="F101" s="19"/>
      <c r="G101" s="19"/>
      <c r="H101" s="24"/>
      <c r="I101" s="25" t="str">
        <f>IFERROR(INDEX(Service_Tarifs!$D$2:$D$271,MATCH(F101,Service_Tarifs!$B$2:$B$271,0)),"")</f>
        <v/>
      </c>
      <c r="J101" s="15" t="str">
        <f>IFERROR(INDEX(Service_Tarifs!$F$2:$F$271,MATCH(F101,Service_Tarifs!$B$2:$B$271,0)),"")</f>
        <v/>
      </c>
      <c r="K101" s="16" t="str">
        <f t="shared" si="16"/>
        <v/>
      </c>
      <c r="L101" s="15"/>
      <c r="M101" s="16" t="str">
        <f t="shared" si="17"/>
        <v/>
      </c>
      <c r="N101" s="16" t="str">
        <f t="shared" si="18"/>
        <v/>
      </c>
      <c r="O101" s="16" t="str">
        <f t="shared" si="19"/>
        <v/>
      </c>
      <c r="P101" s="16" t="str">
        <f t="shared" si="20"/>
        <v/>
      </c>
      <c r="Q101" s="30"/>
      <c r="R101" s="16" t="str">
        <f t="shared" si="21"/>
        <v/>
      </c>
      <c r="S101" s="16">
        <v>300000</v>
      </c>
      <c r="T101" s="17" t="str">
        <f t="shared" si="22"/>
        <v/>
      </c>
      <c r="U101" s="18">
        <f t="shared" ca="1" si="23"/>
        <v>46326</v>
      </c>
    </row>
    <row r="102" spans="1:21" ht="16.5" x14ac:dyDescent="0.3">
      <c r="A102" s="29"/>
      <c r="B102" s="27">
        <f t="shared" ca="1" si="15"/>
        <v>46296</v>
      </c>
      <c r="C102" s="19" t="str">
        <f>IF(D102="","",INDEX(Clients!B:B,MATCH(D102,Clients!A:A,0)))</f>
        <v>NS-CL-0001</v>
      </c>
      <c r="D102" s="19" t="s">
        <v>9</v>
      </c>
      <c r="E102" s="19"/>
      <c r="F102" s="19"/>
      <c r="G102" s="19"/>
      <c r="H102" s="24"/>
      <c r="I102" s="25" t="str">
        <f>IFERROR(INDEX(Service_Tarifs!$D$2:$D$271,MATCH(F102,Service_Tarifs!$B$2:$B$271,0)),"")</f>
        <v/>
      </c>
      <c r="J102" s="15" t="str">
        <f>IFERROR(INDEX(Service_Tarifs!$F$2:$F$271,MATCH(F102,Service_Tarifs!$B$2:$B$271,0)),"")</f>
        <v/>
      </c>
      <c r="K102" s="16" t="str">
        <f t="shared" si="16"/>
        <v/>
      </c>
      <c r="L102" s="15"/>
      <c r="M102" s="16" t="str">
        <f t="shared" si="17"/>
        <v/>
      </c>
      <c r="N102" s="16" t="str">
        <f t="shared" si="18"/>
        <v/>
      </c>
      <c r="O102" s="16" t="str">
        <f t="shared" si="19"/>
        <v/>
      </c>
      <c r="P102" s="16" t="str">
        <f t="shared" si="20"/>
        <v/>
      </c>
      <c r="Q102" s="30"/>
      <c r="R102" s="16" t="str">
        <f t="shared" si="21"/>
        <v/>
      </c>
      <c r="S102" s="16">
        <v>300000</v>
      </c>
      <c r="T102" s="17" t="str">
        <f t="shared" si="22"/>
        <v/>
      </c>
      <c r="U102" s="18">
        <f t="shared" ca="1" si="23"/>
        <v>46326</v>
      </c>
    </row>
    <row r="103" spans="1:21" ht="16.5" x14ac:dyDescent="0.3">
      <c r="A103" s="29"/>
      <c r="B103" s="27">
        <f t="shared" ca="1" si="15"/>
        <v>46296</v>
      </c>
      <c r="C103" s="19" t="str">
        <f>IF(D103="","",INDEX(Clients!B:B,MATCH(D103,Clients!A:A,0)))</f>
        <v>NS-CL-0001</v>
      </c>
      <c r="D103" s="19" t="s">
        <v>9</v>
      </c>
      <c r="E103" s="19"/>
      <c r="F103" s="19"/>
      <c r="G103" s="19"/>
      <c r="H103" s="24"/>
      <c r="I103" s="25" t="str">
        <f>IFERROR(INDEX(Service_Tarifs!$D$2:$D$271,MATCH(F103,Service_Tarifs!$B$2:$B$271,0)),"")</f>
        <v/>
      </c>
      <c r="J103" s="15" t="str">
        <f>IFERROR(INDEX(Service_Tarifs!$F$2:$F$271,MATCH(F103,Service_Tarifs!$B$2:$B$271,0)),"")</f>
        <v/>
      </c>
      <c r="K103" s="16" t="str">
        <f t="shared" si="16"/>
        <v/>
      </c>
      <c r="L103" s="15"/>
      <c r="M103" s="16" t="str">
        <f t="shared" si="17"/>
        <v/>
      </c>
      <c r="N103" s="16" t="str">
        <f t="shared" si="18"/>
        <v/>
      </c>
      <c r="O103" s="16" t="str">
        <f t="shared" si="19"/>
        <v/>
      </c>
      <c r="P103" s="16" t="str">
        <f t="shared" si="20"/>
        <v/>
      </c>
      <c r="Q103" s="30"/>
      <c r="R103" s="16" t="str">
        <f t="shared" si="21"/>
        <v/>
      </c>
      <c r="S103" s="16">
        <v>300000</v>
      </c>
      <c r="T103" s="17" t="str">
        <f t="shared" si="22"/>
        <v/>
      </c>
      <c r="U103" s="18">
        <f t="shared" ca="1" si="23"/>
        <v>46326</v>
      </c>
    </row>
    <row r="104" spans="1:21" ht="16.5" x14ac:dyDescent="0.3">
      <c r="A104" s="29"/>
      <c r="B104" s="27">
        <f t="shared" ca="1" si="15"/>
        <v>46296</v>
      </c>
      <c r="C104" s="19" t="str">
        <f>IF(D104="","",INDEX(Clients!B:B,MATCH(D104,Clients!A:A,0)))</f>
        <v>NS-CL-0001</v>
      </c>
      <c r="D104" s="19" t="s">
        <v>9</v>
      </c>
      <c r="E104" s="19"/>
      <c r="F104" s="19"/>
      <c r="G104" s="19"/>
      <c r="H104" s="24"/>
      <c r="I104" s="25" t="str">
        <f>IFERROR(INDEX(Service_Tarifs!$D$2:$D$271,MATCH(F104,Service_Tarifs!$B$2:$B$271,0)),"")</f>
        <v/>
      </c>
      <c r="J104" s="15" t="str">
        <f>IFERROR(INDEX(Service_Tarifs!$F$2:$F$271,MATCH(F104,Service_Tarifs!$B$2:$B$271,0)),"")</f>
        <v/>
      </c>
      <c r="K104" s="16" t="str">
        <f t="shared" si="16"/>
        <v/>
      </c>
      <c r="L104" s="15"/>
      <c r="M104" s="16" t="str">
        <f t="shared" si="17"/>
        <v/>
      </c>
      <c r="N104" s="16" t="str">
        <f t="shared" si="18"/>
        <v/>
      </c>
      <c r="O104" s="16" t="str">
        <f t="shared" si="19"/>
        <v/>
      </c>
      <c r="P104" s="16" t="str">
        <f t="shared" si="20"/>
        <v/>
      </c>
      <c r="Q104" s="30"/>
      <c r="R104" s="16" t="str">
        <f t="shared" si="21"/>
        <v/>
      </c>
      <c r="S104" s="16">
        <v>300000</v>
      </c>
      <c r="T104" s="17" t="str">
        <f t="shared" si="22"/>
        <v/>
      </c>
      <c r="U104" s="18">
        <f t="shared" ca="1" si="23"/>
        <v>46326</v>
      </c>
    </row>
    <row r="105" spans="1:21" ht="16.5" x14ac:dyDescent="0.3">
      <c r="A105" s="29"/>
      <c r="B105" s="27">
        <f t="shared" ca="1" si="15"/>
        <v>46296</v>
      </c>
      <c r="C105" s="19" t="str">
        <f>IF(D105="","",INDEX(Clients!B:B,MATCH(D105,Clients!A:A,0)))</f>
        <v>NS-CL-0001</v>
      </c>
      <c r="D105" s="19" t="s">
        <v>9</v>
      </c>
      <c r="E105" s="19"/>
      <c r="F105" s="19"/>
      <c r="G105" s="19"/>
      <c r="H105" s="24"/>
      <c r="I105" s="25" t="str">
        <f>IFERROR(INDEX(Service_Tarifs!$D$2:$D$271,MATCH(F105,Service_Tarifs!$B$2:$B$271,0)),"")</f>
        <v/>
      </c>
      <c r="J105" s="15" t="str">
        <f>IFERROR(INDEX(Service_Tarifs!$F$2:$F$271,MATCH(F105,Service_Tarifs!$B$2:$B$271,0)),"")</f>
        <v/>
      </c>
      <c r="K105" s="16" t="str">
        <f t="shared" si="16"/>
        <v/>
      </c>
      <c r="L105" s="15"/>
      <c r="M105" s="16" t="str">
        <f t="shared" si="17"/>
        <v/>
      </c>
      <c r="N105" s="16" t="str">
        <f t="shared" si="18"/>
        <v/>
      </c>
      <c r="O105" s="16" t="str">
        <f t="shared" si="19"/>
        <v/>
      </c>
      <c r="P105" s="16" t="str">
        <f t="shared" si="20"/>
        <v/>
      </c>
      <c r="Q105" s="30"/>
      <c r="R105" s="16" t="str">
        <f t="shared" si="21"/>
        <v/>
      </c>
      <c r="S105" s="16">
        <v>300000</v>
      </c>
      <c r="T105" s="17" t="str">
        <f t="shared" si="22"/>
        <v/>
      </c>
      <c r="U105" s="18">
        <f t="shared" ca="1" si="23"/>
        <v>46326</v>
      </c>
    </row>
    <row r="106" spans="1:21" ht="16.5" x14ac:dyDescent="0.3">
      <c r="A106" s="29"/>
      <c r="B106" s="27">
        <f t="shared" ca="1" si="15"/>
        <v>46296</v>
      </c>
      <c r="C106" s="19" t="str">
        <f>IF(D106="","",INDEX(Clients!B:B,MATCH(D106,Clients!A:A,0)))</f>
        <v>NS-CL-0001</v>
      </c>
      <c r="D106" s="19" t="s">
        <v>9</v>
      </c>
      <c r="E106" s="19"/>
      <c r="F106" s="19"/>
      <c r="G106" s="19"/>
      <c r="H106" s="24"/>
      <c r="I106" s="25" t="str">
        <f>IFERROR(INDEX(Service_Tarifs!$D$2:$D$271,MATCH(F106,Service_Tarifs!$B$2:$B$271,0)),"")</f>
        <v/>
      </c>
      <c r="J106" s="15" t="str">
        <f>IFERROR(INDEX(Service_Tarifs!$F$2:$F$271,MATCH(F106,Service_Tarifs!$B$2:$B$271,0)),"")</f>
        <v/>
      </c>
      <c r="K106" s="16" t="str">
        <f t="shared" si="16"/>
        <v/>
      </c>
      <c r="L106" s="15"/>
      <c r="M106" s="16" t="str">
        <f t="shared" si="17"/>
        <v/>
      </c>
      <c r="N106" s="16" t="str">
        <f t="shared" si="18"/>
        <v/>
      </c>
      <c r="O106" s="16" t="str">
        <f t="shared" si="19"/>
        <v/>
      </c>
      <c r="P106" s="16" t="str">
        <f t="shared" si="20"/>
        <v/>
      </c>
      <c r="Q106" s="30"/>
      <c r="R106" s="16" t="str">
        <f t="shared" si="21"/>
        <v/>
      </c>
      <c r="S106" s="16">
        <v>300000</v>
      </c>
      <c r="T106" s="17" t="str">
        <f t="shared" si="22"/>
        <v/>
      </c>
      <c r="U106" s="18">
        <f t="shared" ca="1" si="23"/>
        <v>46326</v>
      </c>
    </row>
    <row r="107" spans="1:21" ht="16.5" x14ac:dyDescent="0.3">
      <c r="A107" s="29"/>
      <c r="B107" s="27">
        <f t="shared" ca="1" si="15"/>
        <v>46296</v>
      </c>
      <c r="C107" s="19" t="str">
        <f>IF(D107="","",INDEX(Clients!B:B,MATCH(D107,Clients!A:A,0)))</f>
        <v>NS-CL-0001</v>
      </c>
      <c r="D107" s="19" t="s">
        <v>9</v>
      </c>
      <c r="E107" s="19"/>
      <c r="F107" s="19"/>
      <c r="G107" s="19"/>
      <c r="H107" s="24"/>
      <c r="I107" s="25" t="str">
        <f>IFERROR(INDEX(Service_Tarifs!$D$2:$D$271,MATCH(F107,Service_Tarifs!$B$2:$B$271,0)),"")</f>
        <v/>
      </c>
      <c r="J107" s="15" t="str">
        <f>IFERROR(INDEX(Service_Tarifs!$F$2:$F$271,MATCH(F107,Service_Tarifs!$B$2:$B$271,0)),"")</f>
        <v/>
      </c>
      <c r="K107" s="16" t="str">
        <f t="shared" si="16"/>
        <v/>
      </c>
      <c r="L107" s="15"/>
      <c r="M107" s="16" t="str">
        <f t="shared" si="17"/>
        <v/>
      </c>
      <c r="N107" s="16" t="str">
        <f t="shared" si="18"/>
        <v/>
      </c>
      <c r="O107" s="16" t="str">
        <f t="shared" si="19"/>
        <v/>
      </c>
      <c r="P107" s="16" t="str">
        <f t="shared" si="20"/>
        <v/>
      </c>
      <c r="Q107" s="30"/>
      <c r="R107" s="16" t="str">
        <f t="shared" si="21"/>
        <v/>
      </c>
      <c r="S107" s="16">
        <v>300000</v>
      </c>
      <c r="T107" s="17" t="str">
        <f t="shared" si="22"/>
        <v/>
      </c>
      <c r="U107" s="18">
        <f t="shared" ca="1" si="23"/>
        <v>46326</v>
      </c>
    </row>
    <row r="108" spans="1:21" ht="16.5" x14ac:dyDescent="0.3">
      <c r="A108" s="29"/>
      <c r="B108" s="27">
        <f t="shared" ca="1" si="15"/>
        <v>46296</v>
      </c>
      <c r="C108" s="19" t="str">
        <f>IF(D108="","",INDEX(Clients!B:B,MATCH(D108,Clients!A:A,0)))</f>
        <v>NS-CL-0001</v>
      </c>
      <c r="D108" s="19" t="s">
        <v>9</v>
      </c>
      <c r="E108" s="19"/>
      <c r="F108" s="19"/>
      <c r="G108" s="19"/>
      <c r="H108" s="24"/>
      <c r="I108" s="25" t="str">
        <f>IFERROR(INDEX(Service_Tarifs!$D$2:$D$271,MATCH(F108,Service_Tarifs!$B$2:$B$271,0)),"")</f>
        <v/>
      </c>
      <c r="J108" s="15" t="str">
        <f>IFERROR(INDEX(Service_Tarifs!$F$2:$F$271,MATCH(F108,Service_Tarifs!$B$2:$B$271,0)),"")</f>
        <v/>
      </c>
      <c r="K108" s="16" t="str">
        <f t="shared" si="16"/>
        <v/>
      </c>
      <c r="L108" s="15"/>
      <c r="M108" s="16" t="str">
        <f t="shared" si="17"/>
        <v/>
      </c>
      <c r="N108" s="16" t="str">
        <f t="shared" si="18"/>
        <v/>
      </c>
      <c r="O108" s="16" t="str">
        <f t="shared" si="19"/>
        <v/>
      </c>
      <c r="P108" s="16" t="str">
        <f t="shared" si="20"/>
        <v/>
      </c>
      <c r="Q108" s="30"/>
      <c r="R108" s="16" t="str">
        <f t="shared" si="21"/>
        <v/>
      </c>
      <c r="S108" s="16">
        <v>300000</v>
      </c>
      <c r="T108" s="17" t="str">
        <f t="shared" si="22"/>
        <v/>
      </c>
      <c r="U108" s="18">
        <f t="shared" ca="1" si="23"/>
        <v>46326</v>
      </c>
    </row>
    <row r="109" spans="1:21" ht="16.5" x14ac:dyDescent="0.3">
      <c r="A109" s="29"/>
      <c r="B109" s="27">
        <f t="shared" ca="1" si="15"/>
        <v>46296</v>
      </c>
      <c r="C109" s="19" t="str">
        <f>IF(D109="","",INDEX(Clients!B:B,MATCH(D109,Clients!A:A,0)))</f>
        <v>NS-CL-0001</v>
      </c>
      <c r="D109" s="19" t="s">
        <v>9</v>
      </c>
      <c r="E109" s="19"/>
      <c r="F109" s="19"/>
      <c r="G109" s="19"/>
      <c r="H109" s="24"/>
      <c r="I109" s="25" t="str">
        <f>IFERROR(INDEX(Service_Tarifs!$D$2:$D$271,MATCH(F109,Service_Tarifs!$B$2:$B$271,0)),"")</f>
        <v/>
      </c>
      <c r="J109" s="15" t="str">
        <f>IFERROR(INDEX(Service_Tarifs!$F$2:$F$271,MATCH(F109,Service_Tarifs!$B$2:$B$271,0)),"")</f>
        <v/>
      </c>
      <c r="K109" s="16" t="str">
        <f t="shared" si="16"/>
        <v/>
      </c>
      <c r="L109" s="15"/>
      <c r="M109" s="16" t="str">
        <f t="shared" si="17"/>
        <v/>
      </c>
      <c r="N109" s="16" t="str">
        <f t="shared" si="18"/>
        <v/>
      </c>
      <c r="O109" s="16" t="str">
        <f t="shared" si="19"/>
        <v/>
      </c>
      <c r="P109" s="16" t="str">
        <f t="shared" si="20"/>
        <v/>
      </c>
      <c r="Q109" s="30"/>
      <c r="R109" s="16" t="str">
        <f t="shared" si="21"/>
        <v/>
      </c>
      <c r="S109" s="16">
        <v>300000</v>
      </c>
      <c r="T109" s="17" t="str">
        <f t="shared" si="22"/>
        <v/>
      </c>
      <c r="U109" s="18">
        <f t="shared" ca="1" si="23"/>
        <v>46326</v>
      </c>
    </row>
    <row r="110" spans="1:21" ht="16.5" x14ac:dyDescent="0.3">
      <c r="A110" s="29"/>
      <c r="B110" s="27">
        <f t="shared" ca="1" si="15"/>
        <v>46296</v>
      </c>
      <c r="C110" s="19" t="str">
        <f>IF(D110="","",INDEX(Clients!B:B,MATCH(D110,Clients!A:A,0)))</f>
        <v>NS-CL-0001</v>
      </c>
      <c r="D110" s="19" t="s">
        <v>9</v>
      </c>
      <c r="E110" s="19"/>
      <c r="F110" s="19"/>
      <c r="G110" s="19"/>
      <c r="H110" s="24"/>
      <c r="I110" s="25" t="str">
        <f>IFERROR(INDEX(Service_Tarifs!$D$2:$D$271,MATCH(F110,Service_Tarifs!$B$2:$B$271,0)),"")</f>
        <v/>
      </c>
      <c r="J110" s="15" t="str">
        <f>IFERROR(INDEX(Service_Tarifs!$F$2:$F$271,MATCH(F110,Service_Tarifs!$B$2:$B$271,0)),"")</f>
        <v/>
      </c>
      <c r="K110" s="16" t="str">
        <f t="shared" si="16"/>
        <v/>
      </c>
      <c r="L110" s="15"/>
      <c r="M110" s="16" t="str">
        <f t="shared" si="17"/>
        <v/>
      </c>
      <c r="N110" s="16" t="str">
        <f t="shared" si="18"/>
        <v/>
      </c>
      <c r="O110" s="16" t="str">
        <f t="shared" si="19"/>
        <v/>
      </c>
      <c r="P110" s="16" t="str">
        <f t="shared" si="20"/>
        <v/>
      </c>
      <c r="Q110" s="30"/>
      <c r="R110" s="16" t="str">
        <f t="shared" si="21"/>
        <v/>
      </c>
      <c r="S110" s="16">
        <v>300000</v>
      </c>
      <c r="T110" s="17" t="str">
        <f t="shared" si="22"/>
        <v/>
      </c>
      <c r="U110" s="18">
        <f t="shared" ca="1" si="23"/>
        <v>46326</v>
      </c>
    </row>
    <row r="111" spans="1:21" ht="16.5" x14ac:dyDescent="0.3">
      <c r="A111" s="29"/>
      <c r="B111" s="27">
        <f t="shared" ca="1" si="15"/>
        <v>46296</v>
      </c>
      <c r="C111" s="19" t="str">
        <f>IF(D111="","",INDEX(Clients!B:B,MATCH(D111,Clients!A:A,0)))</f>
        <v>NS-CL-0001</v>
      </c>
      <c r="D111" s="19" t="s">
        <v>9</v>
      </c>
      <c r="E111" s="19"/>
      <c r="F111" s="19"/>
      <c r="G111" s="19"/>
      <c r="H111" s="24"/>
      <c r="I111" s="25" t="str">
        <f>IFERROR(INDEX(Service_Tarifs!$D$2:$D$271,MATCH(F111,Service_Tarifs!$B$2:$B$271,0)),"")</f>
        <v/>
      </c>
      <c r="J111" s="15" t="str">
        <f>IFERROR(INDEX(Service_Tarifs!$F$2:$F$271,MATCH(F111,Service_Tarifs!$B$2:$B$271,0)),"")</f>
        <v/>
      </c>
      <c r="K111" s="16" t="str">
        <f t="shared" si="16"/>
        <v/>
      </c>
      <c r="L111" s="15"/>
      <c r="M111" s="16" t="str">
        <f t="shared" si="17"/>
        <v/>
      </c>
      <c r="N111" s="16" t="str">
        <f t="shared" si="18"/>
        <v/>
      </c>
      <c r="O111" s="16" t="str">
        <f t="shared" si="19"/>
        <v/>
      </c>
      <c r="P111" s="16" t="str">
        <f t="shared" si="20"/>
        <v/>
      </c>
      <c r="Q111" s="30"/>
      <c r="R111" s="16" t="str">
        <f t="shared" si="21"/>
        <v/>
      </c>
      <c r="S111" s="16">
        <v>300000</v>
      </c>
      <c r="T111" s="17" t="str">
        <f t="shared" si="22"/>
        <v/>
      </c>
      <c r="U111" s="18">
        <f t="shared" ca="1" si="23"/>
        <v>46326</v>
      </c>
    </row>
    <row r="112" spans="1:21" ht="16.5" x14ac:dyDescent="0.3">
      <c r="A112" s="29"/>
      <c r="B112" s="27">
        <f t="shared" ca="1" si="15"/>
        <v>46296</v>
      </c>
      <c r="C112" s="19" t="str">
        <f>IF(D112="","",INDEX(Clients!B:B,MATCH(D112,Clients!A:A,0)))</f>
        <v>NS-CL-0001</v>
      </c>
      <c r="D112" s="19" t="s">
        <v>9</v>
      </c>
      <c r="E112" s="19"/>
      <c r="F112" s="19"/>
      <c r="G112" s="19"/>
      <c r="H112" s="24"/>
      <c r="I112" s="25" t="str">
        <f>IFERROR(INDEX(Service_Tarifs!$D$2:$D$271,MATCH(F112,Service_Tarifs!$B$2:$B$271,0)),"")</f>
        <v/>
      </c>
      <c r="J112" s="15" t="str">
        <f>IFERROR(INDEX(Service_Tarifs!$F$2:$F$271,MATCH(F112,Service_Tarifs!$B$2:$B$271,0)),"")</f>
        <v/>
      </c>
      <c r="K112" s="16" t="str">
        <f t="shared" si="16"/>
        <v/>
      </c>
      <c r="L112" s="15"/>
      <c r="M112" s="16" t="str">
        <f t="shared" si="17"/>
        <v/>
      </c>
      <c r="N112" s="16" t="str">
        <f t="shared" si="18"/>
        <v/>
      </c>
      <c r="O112" s="16" t="str">
        <f t="shared" si="19"/>
        <v/>
      </c>
      <c r="P112" s="16" t="str">
        <f t="shared" si="20"/>
        <v/>
      </c>
      <c r="Q112" s="30"/>
      <c r="R112" s="16" t="str">
        <f t="shared" si="21"/>
        <v/>
      </c>
      <c r="S112" s="16">
        <v>300000</v>
      </c>
      <c r="T112" s="17" t="str">
        <f t="shared" si="22"/>
        <v/>
      </c>
      <c r="U112" s="18">
        <f t="shared" ca="1" si="23"/>
        <v>46326</v>
      </c>
    </row>
    <row r="113" spans="1:21" ht="16.5" x14ac:dyDescent="0.3">
      <c r="A113" s="29"/>
      <c r="B113" s="27">
        <f t="shared" ca="1" si="15"/>
        <v>46296</v>
      </c>
      <c r="C113" s="19" t="str">
        <f>IF(D113="","",INDEX(Clients!B:B,MATCH(D113,Clients!A:A,0)))</f>
        <v>NS-CL-0001</v>
      </c>
      <c r="D113" s="19" t="s">
        <v>9</v>
      </c>
      <c r="E113" s="19"/>
      <c r="F113" s="19"/>
      <c r="G113" s="19"/>
      <c r="H113" s="24"/>
      <c r="I113" s="25" t="str">
        <f>IFERROR(INDEX(Service_Tarifs!$D$2:$D$271,MATCH(F113,Service_Tarifs!$B$2:$B$271,0)),"")</f>
        <v/>
      </c>
      <c r="J113" s="15" t="str">
        <f>IFERROR(INDEX(Service_Tarifs!$F$2:$F$271,MATCH(F113,Service_Tarifs!$B$2:$B$271,0)),"")</f>
        <v/>
      </c>
      <c r="K113" s="16" t="str">
        <f t="shared" si="16"/>
        <v/>
      </c>
      <c r="L113" s="15"/>
      <c r="M113" s="16" t="str">
        <f t="shared" si="17"/>
        <v/>
      </c>
      <c r="N113" s="16" t="str">
        <f t="shared" si="18"/>
        <v/>
      </c>
      <c r="O113" s="16" t="str">
        <f t="shared" si="19"/>
        <v/>
      </c>
      <c r="P113" s="16" t="str">
        <f t="shared" si="20"/>
        <v/>
      </c>
      <c r="Q113" s="30"/>
      <c r="R113" s="16" t="str">
        <f t="shared" si="21"/>
        <v/>
      </c>
      <c r="S113" s="16">
        <v>300000</v>
      </c>
      <c r="T113" s="17" t="str">
        <f t="shared" si="22"/>
        <v/>
      </c>
      <c r="U113" s="18">
        <f t="shared" ca="1" si="23"/>
        <v>46326</v>
      </c>
    </row>
    <row r="114" spans="1:21" ht="16.5" x14ac:dyDescent="0.3">
      <c r="A114" s="29"/>
      <c r="B114" s="27">
        <f t="shared" ca="1" si="15"/>
        <v>46296</v>
      </c>
      <c r="C114" s="19" t="str">
        <f>IF(D114="","",INDEX(Clients!B:B,MATCH(D114,Clients!A:A,0)))</f>
        <v>NS-CL-0001</v>
      </c>
      <c r="D114" s="19" t="s">
        <v>9</v>
      </c>
      <c r="E114" s="19"/>
      <c r="F114" s="19"/>
      <c r="G114" s="19"/>
      <c r="H114" s="24"/>
      <c r="I114" s="25" t="str">
        <f>IFERROR(INDEX(Service_Tarifs!$D$2:$D$271,MATCH(F114,Service_Tarifs!$B$2:$B$271,0)),"")</f>
        <v/>
      </c>
      <c r="J114" s="15" t="str">
        <f>IFERROR(INDEX(Service_Tarifs!$F$2:$F$271,MATCH(F114,Service_Tarifs!$B$2:$B$271,0)),"")</f>
        <v/>
      </c>
      <c r="K114" s="16" t="str">
        <f t="shared" si="16"/>
        <v/>
      </c>
      <c r="L114" s="15"/>
      <c r="M114" s="16" t="str">
        <f t="shared" si="17"/>
        <v/>
      </c>
      <c r="N114" s="16" t="str">
        <f t="shared" si="18"/>
        <v/>
      </c>
      <c r="O114" s="16" t="str">
        <f t="shared" si="19"/>
        <v/>
      </c>
      <c r="P114" s="16" t="str">
        <f t="shared" si="20"/>
        <v/>
      </c>
      <c r="Q114" s="30"/>
      <c r="R114" s="16" t="str">
        <f t="shared" si="21"/>
        <v/>
      </c>
      <c r="S114" s="16">
        <v>300000</v>
      </c>
      <c r="T114" s="17" t="str">
        <f t="shared" si="22"/>
        <v/>
      </c>
      <c r="U114" s="18">
        <f t="shared" ca="1" si="23"/>
        <v>46326</v>
      </c>
    </row>
    <row r="115" spans="1:21" ht="16.5" x14ac:dyDescent="0.3">
      <c r="A115" s="29"/>
      <c r="B115" s="27">
        <f t="shared" ca="1" si="15"/>
        <v>46296</v>
      </c>
      <c r="C115" s="19" t="str">
        <f>IF(D115="","",INDEX(Clients!B:B,MATCH(D115,Clients!A:A,0)))</f>
        <v>NS-CL-0001</v>
      </c>
      <c r="D115" s="19" t="s">
        <v>9</v>
      </c>
      <c r="E115" s="19"/>
      <c r="F115" s="19"/>
      <c r="G115" s="19"/>
      <c r="H115" s="24"/>
      <c r="I115" s="25" t="str">
        <f>IFERROR(INDEX(Service_Tarifs!$D$2:$D$271,MATCH(F115,Service_Tarifs!$B$2:$B$271,0)),"")</f>
        <v/>
      </c>
      <c r="J115" s="15" t="str">
        <f>IFERROR(INDEX(Service_Tarifs!$F$2:$F$271,MATCH(F115,Service_Tarifs!$B$2:$B$271,0)),"")</f>
        <v/>
      </c>
      <c r="K115" s="16" t="str">
        <f t="shared" si="16"/>
        <v/>
      </c>
      <c r="L115" s="15"/>
      <c r="M115" s="16" t="str">
        <f t="shared" si="17"/>
        <v/>
      </c>
      <c r="N115" s="16" t="str">
        <f t="shared" si="18"/>
        <v/>
      </c>
      <c r="O115" s="16" t="str">
        <f t="shared" si="19"/>
        <v/>
      </c>
      <c r="P115" s="16" t="str">
        <f t="shared" si="20"/>
        <v/>
      </c>
      <c r="Q115" s="30"/>
      <c r="R115" s="16" t="str">
        <f t="shared" si="21"/>
        <v/>
      </c>
      <c r="S115" s="16">
        <v>300000</v>
      </c>
      <c r="T115" s="17" t="str">
        <f t="shared" si="22"/>
        <v/>
      </c>
      <c r="U115" s="18">
        <f t="shared" ca="1" si="23"/>
        <v>46326</v>
      </c>
    </row>
    <row r="116" spans="1:21" ht="16.5" x14ac:dyDescent="0.3">
      <c r="A116" s="29"/>
      <c r="B116" s="27">
        <f t="shared" ca="1" si="15"/>
        <v>46296</v>
      </c>
      <c r="C116" s="19" t="str">
        <f>IF(D116="","",INDEX(Clients!B:B,MATCH(D116,Clients!A:A,0)))</f>
        <v>NS-CL-0001</v>
      </c>
      <c r="D116" s="19" t="s">
        <v>9</v>
      </c>
      <c r="E116" s="19"/>
      <c r="F116" s="19"/>
      <c r="G116" s="19"/>
      <c r="H116" s="24"/>
      <c r="I116" s="25" t="str">
        <f>IFERROR(INDEX(Service_Tarifs!$D$2:$D$271,MATCH(F116,Service_Tarifs!$B$2:$B$271,0)),"")</f>
        <v/>
      </c>
      <c r="J116" s="15" t="str">
        <f>IFERROR(INDEX(Service_Tarifs!$F$2:$F$271,MATCH(F116,Service_Tarifs!$B$2:$B$271,0)),"")</f>
        <v/>
      </c>
      <c r="K116" s="16" t="str">
        <f t="shared" si="16"/>
        <v/>
      </c>
      <c r="L116" s="15"/>
      <c r="M116" s="16" t="str">
        <f t="shared" si="17"/>
        <v/>
      </c>
      <c r="N116" s="16" t="str">
        <f t="shared" si="18"/>
        <v/>
      </c>
      <c r="O116" s="16" t="str">
        <f t="shared" si="19"/>
        <v/>
      </c>
      <c r="P116" s="16" t="str">
        <f t="shared" si="20"/>
        <v/>
      </c>
      <c r="Q116" s="30"/>
      <c r="R116" s="16" t="str">
        <f t="shared" si="21"/>
        <v/>
      </c>
      <c r="S116" s="16">
        <v>300000</v>
      </c>
      <c r="T116" s="17" t="str">
        <f t="shared" si="22"/>
        <v/>
      </c>
      <c r="U116" s="18">
        <f t="shared" ca="1" si="23"/>
        <v>46326</v>
      </c>
    </row>
    <row r="117" spans="1:21" ht="16.5" x14ac:dyDescent="0.3">
      <c r="A117" s="29"/>
      <c r="B117" s="27">
        <f t="shared" ca="1" si="15"/>
        <v>46296</v>
      </c>
      <c r="C117" s="19" t="str">
        <f>IF(D117="","",INDEX(Clients!B:B,MATCH(D117,Clients!A:A,0)))</f>
        <v>NS-CL-0001</v>
      </c>
      <c r="D117" s="19" t="s">
        <v>9</v>
      </c>
      <c r="E117" s="19"/>
      <c r="F117" s="19"/>
      <c r="G117" s="19"/>
      <c r="H117" s="24"/>
      <c r="I117" s="25" t="str">
        <f>IFERROR(INDEX(Service_Tarifs!$D$2:$D$271,MATCH(F117,Service_Tarifs!$B$2:$B$271,0)),"")</f>
        <v/>
      </c>
      <c r="J117" s="15" t="str">
        <f>IFERROR(INDEX(Service_Tarifs!$F$2:$F$271,MATCH(F117,Service_Tarifs!$B$2:$B$271,0)),"")</f>
        <v/>
      </c>
      <c r="K117" s="16" t="str">
        <f t="shared" si="16"/>
        <v/>
      </c>
      <c r="L117" s="15"/>
      <c r="M117" s="16" t="str">
        <f t="shared" si="17"/>
        <v/>
      </c>
      <c r="N117" s="16" t="str">
        <f t="shared" si="18"/>
        <v/>
      </c>
      <c r="O117" s="16" t="str">
        <f t="shared" si="19"/>
        <v/>
      </c>
      <c r="P117" s="16" t="str">
        <f t="shared" si="20"/>
        <v/>
      </c>
      <c r="Q117" s="30"/>
      <c r="R117" s="16" t="str">
        <f t="shared" si="21"/>
        <v/>
      </c>
      <c r="S117" s="16">
        <v>300000</v>
      </c>
      <c r="T117" s="17" t="str">
        <f t="shared" si="22"/>
        <v/>
      </c>
      <c r="U117" s="18">
        <f t="shared" ca="1" si="23"/>
        <v>46326</v>
      </c>
    </row>
    <row r="118" spans="1:21" ht="16.5" x14ac:dyDescent="0.3">
      <c r="A118" s="29"/>
      <c r="B118" s="27">
        <f t="shared" ca="1" si="15"/>
        <v>46296</v>
      </c>
      <c r="C118" s="19" t="str">
        <f>IF(D118="","",INDEX(Clients!B:B,MATCH(D118,Clients!A:A,0)))</f>
        <v>NS-CL-0001</v>
      </c>
      <c r="D118" s="19" t="s">
        <v>9</v>
      </c>
      <c r="E118" s="19"/>
      <c r="F118" s="19"/>
      <c r="G118" s="19"/>
      <c r="H118" s="24"/>
      <c r="I118" s="25" t="str">
        <f>IFERROR(INDEX(Service_Tarifs!$D$2:$D$271,MATCH(F118,Service_Tarifs!$B$2:$B$271,0)),"")</f>
        <v/>
      </c>
      <c r="J118" s="15" t="str">
        <f>IFERROR(INDEX(Service_Tarifs!$F$2:$F$271,MATCH(F118,Service_Tarifs!$B$2:$B$271,0)),"")</f>
        <v/>
      </c>
      <c r="K118" s="16" t="str">
        <f t="shared" si="16"/>
        <v/>
      </c>
      <c r="L118" s="15"/>
      <c r="M118" s="16" t="str">
        <f t="shared" si="17"/>
        <v/>
      </c>
      <c r="N118" s="16" t="str">
        <f t="shared" si="18"/>
        <v/>
      </c>
      <c r="O118" s="16" t="str">
        <f t="shared" si="19"/>
        <v/>
      </c>
      <c r="P118" s="16" t="str">
        <f t="shared" si="20"/>
        <v/>
      </c>
      <c r="Q118" s="30"/>
      <c r="R118" s="16" t="str">
        <f t="shared" si="21"/>
        <v/>
      </c>
      <c r="S118" s="16">
        <v>300000</v>
      </c>
      <c r="T118" s="17" t="str">
        <f t="shared" si="22"/>
        <v/>
      </c>
      <c r="U118" s="18">
        <f t="shared" ca="1" si="23"/>
        <v>46326</v>
      </c>
    </row>
    <row r="119" spans="1:21" ht="16.5" x14ac:dyDescent="0.3">
      <c r="A119" s="29"/>
      <c r="B119" s="27">
        <f t="shared" ca="1" si="15"/>
        <v>46296</v>
      </c>
      <c r="C119" s="19" t="str">
        <f>IF(D119="","",INDEX(Clients!B:B,MATCH(D119,Clients!A:A,0)))</f>
        <v>NS-CL-0001</v>
      </c>
      <c r="D119" s="19" t="s">
        <v>9</v>
      </c>
      <c r="E119" s="19"/>
      <c r="F119" s="19"/>
      <c r="G119" s="19"/>
      <c r="H119" s="24"/>
      <c r="I119" s="25" t="str">
        <f>IFERROR(INDEX(Service_Tarifs!$D$2:$D$271,MATCH(F119,Service_Tarifs!$B$2:$B$271,0)),"")</f>
        <v/>
      </c>
      <c r="J119" s="15" t="str">
        <f>IFERROR(INDEX(Service_Tarifs!$F$2:$F$271,MATCH(F119,Service_Tarifs!$B$2:$B$271,0)),"")</f>
        <v/>
      </c>
      <c r="K119" s="16" t="str">
        <f t="shared" si="16"/>
        <v/>
      </c>
      <c r="L119" s="15"/>
      <c r="M119" s="16" t="str">
        <f t="shared" si="17"/>
        <v/>
      </c>
      <c r="N119" s="16" t="str">
        <f t="shared" si="18"/>
        <v/>
      </c>
      <c r="O119" s="16" t="str">
        <f t="shared" si="19"/>
        <v/>
      </c>
      <c r="P119" s="16" t="str">
        <f t="shared" si="20"/>
        <v/>
      </c>
      <c r="Q119" s="30"/>
      <c r="R119" s="16" t="str">
        <f t="shared" si="21"/>
        <v/>
      </c>
      <c r="S119" s="16">
        <v>300000</v>
      </c>
      <c r="T119" s="17" t="str">
        <f t="shared" si="22"/>
        <v/>
      </c>
      <c r="U119" s="18">
        <f t="shared" ca="1" si="23"/>
        <v>46326</v>
      </c>
    </row>
    <row r="120" spans="1:21" ht="16.5" x14ac:dyDescent="0.3">
      <c r="A120" s="29"/>
      <c r="B120" s="27">
        <f t="shared" ca="1" si="15"/>
        <v>46296</v>
      </c>
      <c r="C120" s="19" t="str">
        <f>IF(D120="","",INDEX(Clients!B:B,MATCH(D120,Clients!A:A,0)))</f>
        <v>NS-CL-0001</v>
      </c>
      <c r="D120" s="19" t="s">
        <v>9</v>
      </c>
      <c r="E120" s="19"/>
      <c r="F120" s="19"/>
      <c r="G120" s="19"/>
      <c r="H120" s="24"/>
      <c r="I120" s="25" t="str">
        <f>IFERROR(INDEX(Service_Tarifs!$D$2:$D$271,MATCH(F120,Service_Tarifs!$B$2:$B$271,0)),"")</f>
        <v/>
      </c>
      <c r="J120" s="15" t="str">
        <f>IFERROR(INDEX(Service_Tarifs!$F$2:$F$271,MATCH(F120,Service_Tarifs!$B$2:$B$271,0)),"")</f>
        <v/>
      </c>
      <c r="K120" s="16" t="str">
        <f t="shared" si="16"/>
        <v/>
      </c>
      <c r="L120" s="15"/>
      <c r="M120" s="16" t="str">
        <f t="shared" si="17"/>
        <v/>
      </c>
      <c r="N120" s="16" t="str">
        <f t="shared" si="18"/>
        <v/>
      </c>
      <c r="O120" s="16" t="str">
        <f t="shared" si="19"/>
        <v/>
      </c>
      <c r="P120" s="16" t="str">
        <f t="shared" si="20"/>
        <v/>
      </c>
      <c r="Q120" s="30"/>
      <c r="R120" s="16" t="str">
        <f t="shared" si="21"/>
        <v/>
      </c>
      <c r="S120" s="16">
        <v>300000</v>
      </c>
      <c r="T120" s="17" t="str">
        <f t="shared" si="22"/>
        <v/>
      </c>
      <c r="U120" s="18">
        <f t="shared" ca="1" si="23"/>
        <v>46326</v>
      </c>
    </row>
    <row r="121" spans="1:21" ht="16.5" x14ac:dyDescent="0.3">
      <c r="A121" s="29"/>
      <c r="B121" s="27">
        <f t="shared" ca="1" si="15"/>
        <v>46296</v>
      </c>
      <c r="C121" s="19" t="str">
        <f>IF(D121="","",INDEX(Clients!B:B,MATCH(D121,Clients!A:A,0)))</f>
        <v>NS-CL-0001</v>
      </c>
      <c r="D121" s="19" t="s">
        <v>9</v>
      </c>
      <c r="E121" s="19"/>
      <c r="F121" s="19"/>
      <c r="G121" s="19"/>
      <c r="H121" s="24"/>
      <c r="I121" s="25" t="str">
        <f>IFERROR(INDEX(Service_Tarifs!$D$2:$D$271,MATCH(F121,Service_Tarifs!$B$2:$B$271,0)),"")</f>
        <v/>
      </c>
      <c r="J121" s="15" t="str">
        <f>IFERROR(INDEX(Service_Tarifs!$F$2:$F$271,MATCH(F121,Service_Tarifs!$B$2:$B$271,0)),"")</f>
        <v/>
      </c>
      <c r="K121" s="16" t="str">
        <f t="shared" si="16"/>
        <v/>
      </c>
      <c r="L121" s="15"/>
      <c r="M121" s="16" t="str">
        <f t="shared" si="17"/>
        <v/>
      </c>
      <c r="N121" s="16" t="str">
        <f t="shared" si="18"/>
        <v/>
      </c>
      <c r="O121" s="16" t="str">
        <f t="shared" si="19"/>
        <v/>
      </c>
      <c r="P121" s="16" t="str">
        <f t="shared" si="20"/>
        <v/>
      </c>
      <c r="Q121" s="30"/>
      <c r="R121" s="16" t="str">
        <f t="shared" si="21"/>
        <v/>
      </c>
      <c r="S121" s="16">
        <v>300000</v>
      </c>
      <c r="T121" s="17" t="str">
        <f t="shared" si="22"/>
        <v/>
      </c>
      <c r="U121" s="18">
        <f t="shared" ca="1" si="23"/>
        <v>46326</v>
      </c>
    </row>
    <row r="122" spans="1:21" ht="16.5" x14ac:dyDescent="0.3">
      <c r="A122" s="29"/>
      <c r="B122" s="27">
        <f t="shared" ca="1" si="15"/>
        <v>46296</v>
      </c>
      <c r="C122" s="19" t="str">
        <f>IF(D122="","",INDEX(Clients!B:B,MATCH(D122,Clients!A:A,0)))</f>
        <v>NS-CL-0001</v>
      </c>
      <c r="D122" s="19" t="s">
        <v>9</v>
      </c>
      <c r="E122" s="19"/>
      <c r="F122" s="19"/>
      <c r="G122" s="19"/>
      <c r="H122" s="24"/>
      <c r="I122" s="25" t="str">
        <f>IFERROR(INDEX(Service_Tarifs!$D$2:$D$271,MATCH(F122,Service_Tarifs!$B$2:$B$271,0)),"")</f>
        <v/>
      </c>
      <c r="J122" s="15" t="str">
        <f>IFERROR(INDEX(Service_Tarifs!$F$2:$F$271,MATCH(F122,Service_Tarifs!$B$2:$B$271,0)),"")</f>
        <v/>
      </c>
      <c r="K122" s="16" t="str">
        <f t="shared" si="16"/>
        <v/>
      </c>
      <c r="L122" s="15"/>
      <c r="M122" s="16" t="str">
        <f t="shared" si="17"/>
        <v/>
      </c>
      <c r="N122" s="16" t="str">
        <f t="shared" si="18"/>
        <v/>
      </c>
      <c r="O122" s="16" t="str">
        <f t="shared" si="19"/>
        <v/>
      </c>
      <c r="P122" s="16" t="str">
        <f t="shared" si="20"/>
        <v/>
      </c>
      <c r="Q122" s="30"/>
      <c r="R122" s="16" t="str">
        <f t="shared" si="21"/>
        <v/>
      </c>
      <c r="S122" s="16">
        <v>300000</v>
      </c>
      <c r="T122" s="17" t="str">
        <f t="shared" si="22"/>
        <v/>
      </c>
      <c r="U122" s="18">
        <f t="shared" ca="1" si="23"/>
        <v>46326</v>
      </c>
    </row>
    <row r="123" spans="1:21" ht="16.5" x14ac:dyDescent="0.3">
      <c r="A123" s="29"/>
      <c r="B123" s="27">
        <f t="shared" ca="1" si="15"/>
        <v>46296</v>
      </c>
      <c r="C123" s="19" t="str">
        <f>IF(D123="","",INDEX(Clients!B:B,MATCH(D123,Clients!A:A,0)))</f>
        <v>NS-CL-0001</v>
      </c>
      <c r="D123" s="19" t="s">
        <v>9</v>
      </c>
      <c r="E123" s="19"/>
      <c r="F123" s="19"/>
      <c r="G123" s="19"/>
      <c r="H123" s="24"/>
      <c r="I123" s="25" t="str">
        <f>IFERROR(INDEX(Service_Tarifs!$D$2:$D$271,MATCH(F123,Service_Tarifs!$B$2:$B$271,0)),"")</f>
        <v/>
      </c>
      <c r="J123" s="15" t="str">
        <f>IFERROR(INDEX(Service_Tarifs!$F$2:$F$271,MATCH(F123,Service_Tarifs!$B$2:$B$271,0)),"")</f>
        <v/>
      </c>
      <c r="K123" s="16" t="str">
        <f t="shared" si="16"/>
        <v/>
      </c>
      <c r="L123" s="15"/>
      <c r="M123" s="16" t="str">
        <f t="shared" si="17"/>
        <v/>
      </c>
      <c r="N123" s="16" t="str">
        <f t="shared" si="18"/>
        <v/>
      </c>
      <c r="O123" s="16" t="str">
        <f t="shared" si="19"/>
        <v/>
      </c>
      <c r="P123" s="16" t="str">
        <f t="shared" si="20"/>
        <v/>
      </c>
      <c r="Q123" s="30"/>
      <c r="R123" s="16" t="str">
        <f t="shared" si="21"/>
        <v/>
      </c>
      <c r="S123" s="16">
        <v>300000</v>
      </c>
      <c r="T123" s="17" t="str">
        <f t="shared" si="22"/>
        <v/>
      </c>
      <c r="U123" s="18">
        <f t="shared" ca="1" si="23"/>
        <v>46326</v>
      </c>
    </row>
    <row r="124" spans="1:21" ht="16.5" x14ac:dyDescent="0.3">
      <c r="A124" s="29"/>
      <c r="B124" s="27">
        <f t="shared" ca="1" si="15"/>
        <v>46296</v>
      </c>
      <c r="C124" s="19" t="str">
        <f>IF(D124="","",INDEX(Clients!B:B,MATCH(D124,Clients!A:A,0)))</f>
        <v>NS-CL-0001</v>
      </c>
      <c r="D124" s="19" t="s">
        <v>9</v>
      </c>
      <c r="E124" s="19"/>
      <c r="F124" s="19"/>
      <c r="G124" s="19"/>
      <c r="H124" s="24"/>
      <c r="I124" s="25" t="str">
        <f>IFERROR(INDEX(Service_Tarifs!$D$2:$D$271,MATCH(F124,Service_Tarifs!$B$2:$B$271,0)),"")</f>
        <v/>
      </c>
      <c r="J124" s="15" t="str">
        <f>IFERROR(INDEX(Service_Tarifs!$F$2:$F$271,MATCH(F124,Service_Tarifs!$B$2:$B$271,0)),"")</f>
        <v/>
      </c>
      <c r="K124" s="16" t="str">
        <f t="shared" si="16"/>
        <v/>
      </c>
      <c r="L124" s="15"/>
      <c r="M124" s="16" t="str">
        <f t="shared" si="17"/>
        <v/>
      </c>
      <c r="N124" s="16" t="str">
        <f t="shared" si="18"/>
        <v/>
      </c>
      <c r="O124" s="16" t="str">
        <f t="shared" si="19"/>
        <v/>
      </c>
      <c r="P124" s="16" t="str">
        <f t="shared" si="20"/>
        <v/>
      </c>
      <c r="Q124" s="30"/>
      <c r="R124" s="16" t="str">
        <f t="shared" si="21"/>
        <v/>
      </c>
      <c r="S124" s="16">
        <v>300000</v>
      </c>
      <c r="T124" s="17" t="str">
        <f t="shared" si="22"/>
        <v/>
      </c>
      <c r="U124" s="18">
        <f t="shared" ca="1" si="23"/>
        <v>46326</v>
      </c>
    </row>
    <row r="125" spans="1:21" ht="16.5" x14ac:dyDescent="0.3">
      <c r="A125" s="29"/>
      <c r="B125" s="27">
        <f t="shared" ca="1" si="15"/>
        <v>46296</v>
      </c>
      <c r="C125" s="19" t="str">
        <f>IF(D125="","",INDEX(Clients!B:B,MATCH(D125,Clients!A:A,0)))</f>
        <v>NS-CL-0001</v>
      </c>
      <c r="D125" s="19" t="s">
        <v>9</v>
      </c>
      <c r="E125" s="19"/>
      <c r="F125" s="19"/>
      <c r="G125" s="19"/>
      <c r="H125" s="24"/>
      <c r="I125" s="25" t="str">
        <f>IFERROR(INDEX(Service_Tarifs!$D$2:$D$271,MATCH(F125,Service_Tarifs!$B$2:$B$271,0)),"")</f>
        <v/>
      </c>
      <c r="J125" s="15" t="str">
        <f>IFERROR(INDEX(Service_Tarifs!$F$2:$F$271,MATCH(F125,Service_Tarifs!$B$2:$B$271,0)),"")</f>
        <v/>
      </c>
      <c r="K125" s="16" t="str">
        <f t="shared" si="16"/>
        <v/>
      </c>
      <c r="L125" s="15"/>
      <c r="M125" s="16" t="str">
        <f t="shared" si="17"/>
        <v/>
      </c>
      <c r="N125" s="16" t="str">
        <f t="shared" si="18"/>
        <v/>
      </c>
      <c r="O125" s="16" t="str">
        <f t="shared" si="19"/>
        <v/>
      </c>
      <c r="P125" s="16" t="str">
        <f t="shared" si="20"/>
        <v/>
      </c>
      <c r="Q125" s="30"/>
      <c r="R125" s="16" t="str">
        <f t="shared" si="21"/>
        <v/>
      </c>
      <c r="S125" s="16">
        <v>300000</v>
      </c>
      <c r="T125" s="17" t="str">
        <f t="shared" si="22"/>
        <v/>
      </c>
      <c r="U125" s="18">
        <f t="shared" ca="1" si="23"/>
        <v>46326</v>
      </c>
    </row>
    <row r="126" spans="1:21" ht="16.5" x14ac:dyDescent="0.3">
      <c r="A126" s="29"/>
      <c r="B126" s="27">
        <f t="shared" ca="1" si="15"/>
        <v>46296</v>
      </c>
      <c r="C126" s="19" t="str">
        <f>IF(D126="","",INDEX(Clients!B:B,MATCH(D126,Clients!A:A,0)))</f>
        <v>NS-CL-0001</v>
      </c>
      <c r="D126" s="19" t="s">
        <v>9</v>
      </c>
      <c r="E126" s="19"/>
      <c r="F126" s="19"/>
      <c r="G126" s="19"/>
      <c r="H126" s="24"/>
      <c r="I126" s="25" t="str">
        <f>IFERROR(INDEX(Service_Tarifs!$D$2:$D$271,MATCH(F126,Service_Tarifs!$B$2:$B$271,0)),"")</f>
        <v/>
      </c>
      <c r="J126" s="15" t="str">
        <f>IFERROR(INDEX(Service_Tarifs!$F$2:$F$271,MATCH(F126,Service_Tarifs!$B$2:$B$271,0)),"")</f>
        <v/>
      </c>
      <c r="K126" s="16" t="str">
        <f t="shared" si="16"/>
        <v/>
      </c>
      <c r="L126" s="15"/>
      <c r="M126" s="16" t="str">
        <f t="shared" si="17"/>
        <v/>
      </c>
      <c r="N126" s="16" t="str">
        <f t="shared" si="18"/>
        <v/>
      </c>
      <c r="O126" s="16" t="str">
        <f t="shared" si="19"/>
        <v/>
      </c>
      <c r="P126" s="16" t="str">
        <f t="shared" si="20"/>
        <v/>
      </c>
      <c r="Q126" s="30"/>
      <c r="R126" s="16" t="str">
        <f t="shared" si="21"/>
        <v/>
      </c>
      <c r="S126" s="16">
        <v>300000</v>
      </c>
      <c r="T126" s="17" t="str">
        <f t="shared" si="22"/>
        <v/>
      </c>
      <c r="U126" s="18">
        <f t="shared" ca="1" si="23"/>
        <v>46326</v>
      </c>
    </row>
    <row r="127" spans="1:21" ht="16.5" x14ac:dyDescent="0.3">
      <c r="A127" s="29"/>
      <c r="B127" s="27">
        <f t="shared" ca="1" si="15"/>
        <v>46296</v>
      </c>
      <c r="C127" s="19" t="str">
        <f>IF(D127="","",INDEX(Clients!B:B,MATCH(D127,Clients!A:A,0)))</f>
        <v>NS-CL-0001</v>
      </c>
      <c r="D127" s="19" t="s">
        <v>9</v>
      </c>
      <c r="E127" s="19"/>
      <c r="F127" s="19"/>
      <c r="G127" s="19"/>
      <c r="H127" s="24"/>
      <c r="I127" s="25" t="str">
        <f>IFERROR(INDEX(Service_Tarifs!$D$2:$D$271,MATCH(F127,Service_Tarifs!$B$2:$B$271,0)),"")</f>
        <v/>
      </c>
      <c r="J127" s="15" t="str">
        <f>IFERROR(INDEX(Service_Tarifs!$F$2:$F$271,MATCH(F127,Service_Tarifs!$B$2:$B$271,0)),"")</f>
        <v/>
      </c>
      <c r="K127" s="16" t="str">
        <f t="shared" si="16"/>
        <v/>
      </c>
      <c r="L127" s="15"/>
      <c r="M127" s="16" t="str">
        <f t="shared" si="17"/>
        <v/>
      </c>
      <c r="N127" s="16" t="str">
        <f t="shared" si="18"/>
        <v/>
      </c>
      <c r="O127" s="16" t="str">
        <f t="shared" si="19"/>
        <v/>
      </c>
      <c r="P127" s="16" t="str">
        <f t="shared" si="20"/>
        <v/>
      </c>
      <c r="Q127" s="30"/>
      <c r="R127" s="16" t="str">
        <f t="shared" si="21"/>
        <v/>
      </c>
      <c r="S127" s="16">
        <v>300000</v>
      </c>
      <c r="T127" s="17" t="str">
        <f t="shared" si="22"/>
        <v/>
      </c>
      <c r="U127" s="18">
        <f t="shared" ca="1" si="23"/>
        <v>46326</v>
      </c>
    </row>
    <row r="128" spans="1:21" ht="16.5" x14ac:dyDescent="0.3">
      <c r="A128" s="29"/>
      <c r="B128" s="27">
        <f t="shared" ca="1" si="15"/>
        <v>46296</v>
      </c>
      <c r="C128" s="19" t="str">
        <f>IF(D128="","",INDEX(Clients!B:B,MATCH(D128,Clients!A:A,0)))</f>
        <v>NS-CL-0001</v>
      </c>
      <c r="D128" s="19" t="s">
        <v>9</v>
      </c>
      <c r="E128" s="19"/>
      <c r="F128" s="19"/>
      <c r="G128" s="19"/>
      <c r="H128" s="24"/>
      <c r="I128" s="25" t="str">
        <f>IFERROR(INDEX(Service_Tarifs!$D$2:$D$271,MATCH(F128,Service_Tarifs!$B$2:$B$271,0)),"")</f>
        <v/>
      </c>
      <c r="J128" s="15" t="str">
        <f>IFERROR(INDEX(Service_Tarifs!$F$2:$F$271,MATCH(F128,Service_Tarifs!$B$2:$B$271,0)),"")</f>
        <v/>
      </c>
      <c r="K128" s="16" t="str">
        <f t="shared" si="16"/>
        <v/>
      </c>
      <c r="L128" s="15"/>
      <c r="M128" s="16" t="str">
        <f t="shared" si="17"/>
        <v/>
      </c>
      <c r="N128" s="16" t="str">
        <f t="shared" si="18"/>
        <v/>
      </c>
      <c r="O128" s="16" t="str">
        <f t="shared" si="19"/>
        <v/>
      </c>
      <c r="P128" s="16" t="str">
        <f t="shared" si="20"/>
        <v/>
      </c>
      <c r="Q128" s="30"/>
      <c r="R128" s="16" t="str">
        <f t="shared" si="21"/>
        <v/>
      </c>
      <c r="S128" s="16">
        <v>300000</v>
      </c>
      <c r="T128" s="17" t="str">
        <f t="shared" si="22"/>
        <v/>
      </c>
      <c r="U128" s="18">
        <f t="shared" ca="1" si="23"/>
        <v>46326</v>
      </c>
    </row>
    <row r="129" spans="1:21" ht="16.5" x14ac:dyDescent="0.3">
      <c r="A129" s="29"/>
      <c r="B129" s="27">
        <f t="shared" ca="1" si="15"/>
        <v>46296</v>
      </c>
      <c r="C129" s="19" t="str">
        <f>IF(D129="","",INDEX(Clients!B:B,MATCH(D129,Clients!A:A,0)))</f>
        <v>NS-CL-0001</v>
      </c>
      <c r="D129" s="19" t="s">
        <v>9</v>
      </c>
      <c r="E129" s="19"/>
      <c r="F129" s="19"/>
      <c r="G129" s="19"/>
      <c r="H129" s="24"/>
      <c r="I129" s="25" t="str">
        <f>IFERROR(INDEX(Service_Tarifs!$D$2:$D$271,MATCH(F129,Service_Tarifs!$B$2:$B$271,0)),"")</f>
        <v/>
      </c>
      <c r="J129" s="15" t="str">
        <f>IFERROR(INDEX(Service_Tarifs!$F$2:$F$271,MATCH(F129,Service_Tarifs!$B$2:$B$271,0)),"")</f>
        <v/>
      </c>
      <c r="K129" s="16" t="str">
        <f t="shared" si="16"/>
        <v/>
      </c>
      <c r="L129" s="15"/>
      <c r="M129" s="16" t="str">
        <f t="shared" si="17"/>
        <v/>
      </c>
      <c r="N129" s="16" t="str">
        <f t="shared" si="18"/>
        <v/>
      </c>
      <c r="O129" s="16" t="str">
        <f t="shared" si="19"/>
        <v/>
      </c>
      <c r="P129" s="16" t="str">
        <f t="shared" si="20"/>
        <v/>
      </c>
      <c r="Q129" s="30"/>
      <c r="R129" s="16" t="str">
        <f t="shared" si="21"/>
        <v/>
      </c>
      <c r="S129" s="16">
        <v>300000</v>
      </c>
      <c r="T129" s="17" t="str">
        <f t="shared" si="22"/>
        <v/>
      </c>
      <c r="U129" s="18">
        <f t="shared" ca="1" si="23"/>
        <v>46326</v>
      </c>
    </row>
    <row r="130" spans="1:21" ht="16.5" x14ac:dyDescent="0.3">
      <c r="A130" s="29"/>
      <c r="B130" s="27">
        <f t="shared" ca="1" si="15"/>
        <v>46296</v>
      </c>
      <c r="C130" s="19" t="str">
        <f>IF(D130="","",INDEX(Clients!B:B,MATCH(D130,Clients!A:A,0)))</f>
        <v>NS-CL-0001</v>
      </c>
      <c r="D130" s="19" t="s">
        <v>9</v>
      </c>
      <c r="E130" s="19"/>
      <c r="F130" s="19"/>
      <c r="G130" s="19"/>
      <c r="H130" s="24"/>
      <c r="I130" s="25" t="str">
        <f>IFERROR(INDEX(Service_Tarifs!$D$2:$D$271,MATCH(F130,Service_Tarifs!$B$2:$B$271,0)),"")</f>
        <v/>
      </c>
      <c r="J130" s="15" t="str">
        <f>IFERROR(INDEX(Service_Tarifs!$F$2:$F$271,MATCH(F130,Service_Tarifs!$B$2:$B$271,0)),"")</f>
        <v/>
      </c>
      <c r="K130" s="16" t="str">
        <f t="shared" si="16"/>
        <v/>
      </c>
      <c r="L130" s="15"/>
      <c r="M130" s="16" t="str">
        <f t="shared" si="17"/>
        <v/>
      </c>
      <c r="N130" s="16" t="str">
        <f t="shared" si="18"/>
        <v/>
      </c>
      <c r="O130" s="16" t="str">
        <f t="shared" si="19"/>
        <v/>
      </c>
      <c r="P130" s="16" t="str">
        <f t="shared" si="20"/>
        <v/>
      </c>
      <c r="Q130" s="30"/>
      <c r="R130" s="16" t="str">
        <f t="shared" si="21"/>
        <v/>
      </c>
      <c r="S130" s="16">
        <v>300000</v>
      </c>
      <c r="T130" s="17" t="str">
        <f t="shared" si="22"/>
        <v/>
      </c>
      <c r="U130" s="18">
        <f t="shared" ca="1" si="23"/>
        <v>46326</v>
      </c>
    </row>
    <row r="131" spans="1:21" ht="16.5" x14ac:dyDescent="0.3">
      <c r="A131" s="29"/>
      <c r="B131" s="27">
        <f t="shared" ref="B131:B150" ca="1" si="24">TODAY()</f>
        <v>46296</v>
      </c>
      <c r="C131" s="19" t="str">
        <f>IF(D131="","",INDEX(Clients!B:B,MATCH(D131,Clients!A:A,0)))</f>
        <v>NS-CL-0001</v>
      </c>
      <c r="D131" s="19" t="s">
        <v>9</v>
      </c>
      <c r="E131" s="19"/>
      <c r="F131" s="19"/>
      <c r="G131" s="19"/>
      <c r="H131" s="24"/>
      <c r="I131" s="25" t="str">
        <f>IFERROR(INDEX(Service_Tarifs!$D$2:$D$271,MATCH(F131,Service_Tarifs!$B$2:$B$271,0)),"")</f>
        <v/>
      </c>
      <c r="J131" s="15" t="str">
        <f>IFERROR(INDEX(Service_Tarifs!$F$2:$F$271,MATCH(F131,Service_Tarifs!$B$2:$B$271,0)),"")</f>
        <v/>
      </c>
      <c r="K131" s="16" t="str">
        <f t="shared" ref="K131:K150" si="25">IF(OR(F131="",H131=""),"",H131*I131)</f>
        <v/>
      </c>
      <c r="L131" s="15"/>
      <c r="M131" s="16" t="str">
        <f t="shared" ref="M131:M150" si="26">IF(OR(F131="",K131="",L131=""),"",K131*L131)</f>
        <v/>
      </c>
      <c r="N131" s="16" t="str">
        <f t="shared" ref="N131:N150" si="27">IF(OR(F131="",K131=""),"",K131-M131)</f>
        <v/>
      </c>
      <c r="O131" s="16" t="str">
        <f t="shared" ref="O131:O150" si="28">IF(OR(F131="",J131="",N131=""),"",N131*J131)</f>
        <v/>
      </c>
      <c r="P131" s="16" t="str">
        <f t="shared" ref="P131:P150" si="29">IF(F131="","",N131+O131)</f>
        <v/>
      </c>
      <c r="Q131" s="30"/>
      <c r="R131" s="16" t="str">
        <f t="shared" ref="R131:R150" si="30">IF(E131="Pro-forma",P131*Q131,"")</f>
        <v/>
      </c>
      <c r="S131" s="16">
        <v>300000</v>
      </c>
      <c r="T131" s="17" t="str">
        <f t="shared" ref="T131:T150" si="31">IF(E131="Finale",P131-S131,"")</f>
        <v/>
      </c>
      <c r="U131" s="18">
        <f t="shared" ref="U131:U150" ca="1" si="32">IF(B131="","",B131+30)</f>
        <v>46326</v>
      </c>
    </row>
    <row r="132" spans="1:21" ht="16.5" x14ac:dyDescent="0.3">
      <c r="A132" s="29"/>
      <c r="B132" s="27">
        <f t="shared" ca="1" si="24"/>
        <v>46296</v>
      </c>
      <c r="C132" s="19" t="str">
        <f>IF(D132="","",INDEX(Clients!B:B,MATCH(D132,Clients!A:A,0)))</f>
        <v>NS-CL-0001</v>
      </c>
      <c r="D132" s="19" t="s">
        <v>9</v>
      </c>
      <c r="E132" s="19"/>
      <c r="F132" s="19"/>
      <c r="G132" s="19"/>
      <c r="H132" s="24"/>
      <c r="I132" s="25" t="str">
        <f>IFERROR(INDEX(Service_Tarifs!$D$2:$D$271,MATCH(F132,Service_Tarifs!$B$2:$B$271,0)),"")</f>
        <v/>
      </c>
      <c r="J132" s="15" t="str">
        <f>IFERROR(INDEX(Service_Tarifs!$F$2:$F$271,MATCH(F132,Service_Tarifs!$B$2:$B$271,0)),"")</f>
        <v/>
      </c>
      <c r="K132" s="16" t="str">
        <f t="shared" si="25"/>
        <v/>
      </c>
      <c r="L132" s="15"/>
      <c r="M132" s="16" t="str">
        <f t="shared" si="26"/>
        <v/>
      </c>
      <c r="N132" s="16" t="str">
        <f t="shared" si="27"/>
        <v/>
      </c>
      <c r="O132" s="16" t="str">
        <f t="shared" si="28"/>
        <v/>
      </c>
      <c r="P132" s="16" t="str">
        <f t="shared" si="29"/>
        <v/>
      </c>
      <c r="Q132" s="30"/>
      <c r="R132" s="16" t="str">
        <f t="shared" si="30"/>
        <v/>
      </c>
      <c r="S132" s="16">
        <v>300000</v>
      </c>
      <c r="T132" s="17" t="str">
        <f t="shared" si="31"/>
        <v/>
      </c>
      <c r="U132" s="18">
        <f t="shared" ca="1" si="32"/>
        <v>46326</v>
      </c>
    </row>
    <row r="133" spans="1:21" ht="16.5" x14ac:dyDescent="0.3">
      <c r="A133" s="29"/>
      <c r="B133" s="27">
        <f t="shared" ca="1" si="24"/>
        <v>46296</v>
      </c>
      <c r="C133" s="19" t="str">
        <f>IF(D133="","",INDEX(Clients!B:B,MATCH(D133,Clients!A:A,0)))</f>
        <v>NS-CL-0001</v>
      </c>
      <c r="D133" s="19" t="s">
        <v>9</v>
      </c>
      <c r="E133" s="19"/>
      <c r="F133" s="19"/>
      <c r="G133" s="19"/>
      <c r="H133" s="24"/>
      <c r="I133" s="25" t="str">
        <f>IFERROR(INDEX(Service_Tarifs!$D$2:$D$271,MATCH(F133,Service_Tarifs!$B$2:$B$271,0)),"")</f>
        <v/>
      </c>
      <c r="J133" s="15" t="str">
        <f>IFERROR(INDEX(Service_Tarifs!$F$2:$F$271,MATCH(F133,Service_Tarifs!$B$2:$B$271,0)),"")</f>
        <v/>
      </c>
      <c r="K133" s="16" t="str">
        <f t="shared" si="25"/>
        <v/>
      </c>
      <c r="L133" s="15"/>
      <c r="M133" s="16" t="str">
        <f t="shared" si="26"/>
        <v/>
      </c>
      <c r="N133" s="16" t="str">
        <f t="shared" si="27"/>
        <v/>
      </c>
      <c r="O133" s="16" t="str">
        <f t="shared" si="28"/>
        <v/>
      </c>
      <c r="P133" s="16" t="str">
        <f t="shared" si="29"/>
        <v/>
      </c>
      <c r="Q133" s="30"/>
      <c r="R133" s="16" t="str">
        <f t="shared" si="30"/>
        <v/>
      </c>
      <c r="S133" s="16">
        <v>300000</v>
      </c>
      <c r="T133" s="17" t="str">
        <f t="shared" si="31"/>
        <v/>
      </c>
      <c r="U133" s="18">
        <f t="shared" ca="1" si="32"/>
        <v>46326</v>
      </c>
    </row>
    <row r="134" spans="1:21" ht="16.5" x14ac:dyDescent="0.3">
      <c r="A134" s="29"/>
      <c r="B134" s="27">
        <f t="shared" ca="1" si="24"/>
        <v>46296</v>
      </c>
      <c r="C134" s="19" t="str">
        <f>IF(D134="","",INDEX(Clients!B:B,MATCH(D134,Clients!A:A,0)))</f>
        <v>NS-CL-0001</v>
      </c>
      <c r="D134" s="19" t="s">
        <v>9</v>
      </c>
      <c r="E134" s="19"/>
      <c r="F134" s="19"/>
      <c r="G134" s="19"/>
      <c r="H134" s="24"/>
      <c r="I134" s="25" t="str">
        <f>IFERROR(INDEX(Service_Tarifs!$D$2:$D$271,MATCH(F134,Service_Tarifs!$B$2:$B$271,0)),"")</f>
        <v/>
      </c>
      <c r="J134" s="15" t="str">
        <f>IFERROR(INDEX(Service_Tarifs!$F$2:$F$271,MATCH(F134,Service_Tarifs!$B$2:$B$271,0)),"")</f>
        <v/>
      </c>
      <c r="K134" s="16" t="str">
        <f t="shared" si="25"/>
        <v/>
      </c>
      <c r="L134" s="15"/>
      <c r="M134" s="16" t="str">
        <f t="shared" si="26"/>
        <v/>
      </c>
      <c r="N134" s="16" t="str">
        <f t="shared" si="27"/>
        <v/>
      </c>
      <c r="O134" s="16" t="str">
        <f t="shared" si="28"/>
        <v/>
      </c>
      <c r="P134" s="16" t="str">
        <f t="shared" si="29"/>
        <v/>
      </c>
      <c r="Q134" s="30"/>
      <c r="R134" s="16" t="str">
        <f t="shared" si="30"/>
        <v/>
      </c>
      <c r="S134" s="16">
        <v>300000</v>
      </c>
      <c r="T134" s="17" t="str">
        <f t="shared" si="31"/>
        <v/>
      </c>
      <c r="U134" s="18">
        <f t="shared" ca="1" si="32"/>
        <v>46326</v>
      </c>
    </row>
    <row r="135" spans="1:21" ht="16.5" x14ac:dyDescent="0.3">
      <c r="A135" s="29"/>
      <c r="B135" s="27">
        <f t="shared" ca="1" si="24"/>
        <v>46296</v>
      </c>
      <c r="C135" s="19" t="str">
        <f>IF(D135="","",INDEX(Clients!B:B,MATCH(D135,Clients!A:A,0)))</f>
        <v>NS-CL-0001</v>
      </c>
      <c r="D135" s="19" t="s">
        <v>9</v>
      </c>
      <c r="E135" s="19"/>
      <c r="F135" s="19"/>
      <c r="G135" s="19"/>
      <c r="H135" s="24"/>
      <c r="I135" s="25" t="str">
        <f>IFERROR(INDEX(Service_Tarifs!$D$2:$D$271,MATCH(F135,Service_Tarifs!$B$2:$B$271,0)),"")</f>
        <v/>
      </c>
      <c r="J135" s="15" t="str">
        <f>IFERROR(INDEX(Service_Tarifs!$F$2:$F$271,MATCH(F135,Service_Tarifs!$B$2:$B$271,0)),"")</f>
        <v/>
      </c>
      <c r="K135" s="16" t="str">
        <f t="shared" si="25"/>
        <v/>
      </c>
      <c r="L135" s="15"/>
      <c r="M135" s="16" t="str">
        <f t="shared" si="26"/>
        <v/>
      </c>
      <c r="N135" s="16" t="str">
        <f t="shared" si="27"/>
        <v/>
      </c>
      <c r="O135" s="16" t="str">
        <f t="shared" si="28"/>
        <v/>
      </c>
      <c r="P135" s="16" t="str">
        <f t="shared" si="29"/>
        <v/>
      </c>
      <c r="Q135" s="30"/>
      <c r="R135" s="16" t="str">
        <f t="shared" si="30"/>
        <v/>
      </c>
      <c r="S135" s="16">
        <v>300000</v>
      </c>
      <c r="T135" s="17" t="str">
        <f t="shared" si="31"/>
        <v/>
      </c>
      <c r="U135" s="18">
        <f t="shared" ca="1" si="32"/>
        <v>46326</v>
      </c>
    </row>
    <row r="136" spans="1:21" ht="16.5" x14ac:dyDescent="0.3">
      <c r="A136" s="29"/>
      <c r="B136" s="27">
        <f t="shared" ca="1" si="24"/>
        <v>46296</v>
      </c>
      <c r="C136" s="19" t="str">
        <f>IF(D136="","",INDEX(Clients!B:B,MATCH(D136,Clients!A:A,0)))</f>
        <v>NS-CL-0001</v>
      </c>
      <c r="D136" s="19" t="s">
        <v>9</v>
      </c>
      <c r="E136" s="19"/>
      <c r="F136" s="19"/>
      <c r="G136" s="19"/>
      <c r="H136" s="24"/>
      <c r="I136" s="25" t="str">
        <f>IFERROR(INDEX(Service_Tarifs!$D$2:$D$271,MATCH(F136,Service_Tarifs!$B$2:$B$271,0)),"")</f>
        <v/>
      </c>
      <c r="J136" s="15" t="str">
        <f>IFERROR(INDEX(Service_Tarifs!$F$2:$F$271,MATCH(F136,Service_Tarifs!$B$2:$B$271,0)),"")</f>
        <v/>
      </c>
      <c r="K136" s="16" t="str">
        <f t="shared" si="25"/>
        <v/>
      </c>
      <c r="L136" s="15"/>
      <c r="M136" s="16" t="str">
        <f t="shared" si="26"/>
        <v/>
      </c>
      <c r="N136" s="16" t="str">
        <f t="shared" si="27"/>
        <v/>
      </c>
      <c r="O136" s="16" t="str">
        <f t="shared" si="28"/>
        <v/>
      </c>
      <c r="P136" s="16" t="str">
        <f t="shared" si="29"/>
        <v/>
      </c>
      <c r="Q136" s="30"/>
      <c r="R136" s="16" t="str">
        <f t="shared" si="30"/>
        <v/>
      </c>
      <c r="S136" s="16">
        <v>300000</v>
      </c>
      <c r="T136" s="17" t="str">
        <f t="shared" si="31"/>
        <v/>
      </c>
      <c r="U136" s="18">
        <f t="shared" ca="1" si="32"/>
        <v>46326</v>
      </c>
    </row>
    <row r="137" spans="1:21" ht="16.5" x14ac:dyDescent="0.3">
      <c r="A137" s="29"/>
      <c r="B137" s="27">
        <f t="shared" ca="1" si="24"/>
        <v>46296</v>
      </c>
      <c r="C137" s="19" t="str">
        <f>IF(D137="","",INDEX(Clients!B:B,MATCH(D137,Clients!A:A,0)))</f>
        <v>NS-CL-0001</v>
      </c>
      <c r="D137" s="19" t="s">
        <v>9</v>
      </c>
      <c r="E137" s="19"/>
      <c r="F137" s="19"/>
      <c r="G137" s="19"/>
      <c r="H137" s="24"/>
      <c r="I137" s="25" t="str">
        <f>IFERROR(INDEX(Service_Tarifs!$D$2:$D$271,MATCH(F137,Service_Tarifs!$B$2:$B$271,0)),"")</f>
        <v/>
      </c>
      <c r="J137" s="15" t="str">
        <f>IFERROR(INDEX(Service_Tarifs!$F$2:$F$271,MATCH(F137,Service_Tarifs!$B$2:$B$271,0)),"")</f>
        <v/>
      </c>
      <c r="K137" s="16" t="str">
        <f t="shared" si="25"/>
        <v/>
      </c>
      <c r="L137" s="15"/>
      <c r="M137" s="16" t="str">
        <f t="shared" si="26"/>
        <v/>
      </c>
      <c r="N137" s="16" t="str">
        <f t="shared" si="27"/>
        <v/>
      </c>
      <c r="O137" s="16" t="str">
        <f t="shared" si="28"/>
        <v/>
      </c>
      <c r="P137" s="16" t="str">
        <f t="shared" si="29"/>
        <v/>
      </c>
      <c r="Q137" s="30"/>
      <c r="R137" s="16" t="str">
        <f t="shared" si="30"/>
        <v/>
      </c>
      <c r="S137" s="16">
        <v>300000</v>
      </c>
      <c r="T137" s="17" t="str">
        <f t="shared" si="31"/>
        <v/>
      </c>
      <c r="U137" s="18">
        <f t="shared" ca="1" si="32"/>
        <v>46326</v>
      </c>
    </row>
    <row r="138" spans="1:21" ht="16.5" x14ac:dyDescent="0.3">
      <c r="A138" s="29"/>
      <c r="B138" s="27">
        <f t="shared" ca="1" si="24"/>
        <v>46296</v>
      </c>
      <c r="C138" s="19" t="str">
        <f>IF(D138="","",INDEX(Clients!B:B,MATCH(D138,Clients!A:A,0)))</f>
        <v>NS-CL-0001</v>
      </c>
      <c r="D138" s="19" t="s">
        <v>9</v>
      </c>
      <c r="E138" s="19"/>
      <c r="F138" s="19"/>
      <c r="G138" s="19"/>
      <c r="H138" s="24"/>
      <c r="I138" s="25" t="str">
        <f>IFERROR(INDEX(Service_Tarifs!$D$2:$D$271,MATCH(F138,Service_Tarifs!$B$2:$B$271,0)),"")</f>
        <v/>
      </c>
      <c r="J138" s="15" t="str">
        <f>IFERROR(INDEX(Service_Tarifs!$F$2:$F$271,MATCH(F138,Service_Tarifs!$B$2:$B$271,0)),"")</f>
        <v/>
      </c>
      <c r="K138" s="16" t="str">
        <f t="shared" si="25"/>
        <v/>
      </c>
      <c r="L138" s="15"/>
      <c r="M138" s="16" t="str">
        <f t="shared" si="26"/>
        <v/>
      </c>
      <c r="N138" s="16" t="str">
        <f t="shared" si="27"/>
        <v/>
      </c>
      <c r="O138" s="16" t="str">
        <f t="shared" si="28"/>
        <v/>
      </c>
      <c r="P138" s="16" t="str">
        <f t="shared" si="29"/>
        <v/>
      </c>
      <c r="Q138" s="30"/>
      <c r="R138" s="16" t="str">
        <f t="shared" si="30"/>
        <v/>
      </c>
      <c r="S138" s="16">
        <v>300000</v>
      </c>
      <c r="T138" s="17" t="str">
        <f t="shared" si="31"/>
        <v/>
      </c>
      <c r="U138" s="18">
        <f t="shared" ca="1" si="32"/>
        <v>46326</v>
      </c>
    </row>
    <row r="139" spans="1:21" ht="16.5" x14ac:dyDescent="0.3">
      <c r="A139" s="29"/>
      <c r="B139" s="27">
        <f t="shared" ca="1" si="24"/>
        <v>46296</v>
      </c>
      <c r="C139" s="19" t="str">
        <f>IF(D139="","",INDEX(Clients!B:B,MATCH(D139,Clients!A:A,0)))</f>
        <v>NS-CL-0001</v>
      </c>
      <c r="D139" s="19" t="s">
        <v>9</v>
      </c>
      <c r="E139" s="19"/>
      <c r="F139" s="19"/>
      <c r="G139" s="19"/>
      <c r="H139" s="24"/>
      <c r="I139" s="25" t="str">
        <f>IFERROR(INDEX(Service_Tarifs!$D$2:$D$271,MATCH(F139,Service_Tarifs!$B$2:$B$271,0)),"")</f>
        <v/>
      </c>
      <c r="J139" s="15" t="str">
        <f>IFERROR(INDEX(Service_Tarifs!$F$2:$F$271,MATCH(F139,Service_Tarifs!$B$2:$B$271,0)),"")</f>
        <v/>
      </c>
      <c r="K139" s="16" t="str">
        <f t="shared" si="25"/>
        <v/>
      </c>
      <c r="L139" s="15"/>
      <c r="M139" s="16" t="str">
        <f t="shared" si="26"/>
        <v/>
      </c>
      <c r="N139" s="16" t="str">
        <f t="shared" si="27"/>
        <v/>
      </c>
      <c r="O139" s="16" t="str">
        <f t="shared" si="28"/>
        <v/>
      </c>
      <c r="P139" s="16" t="str">
        <f t="shared" si="29"/>
        <v/>
      </c>
      <c r="Q139" s="30"/>
      <c r="R139" s="16" t="str">
        <f t="shared" si="30"/>
        <v/>
      </c>
      <c r="S139" s="16">
        <v>300000</v>
      </c>
      <c r="T139" s="17" t="str">
        <f t="shared" si="31"/>
        <v/>
      </c>
      <c r="U139" s="18">
        <f t="shared" ca="1" si="32"/>
        <v>46326</v>
      </c>
    </row>
    <row r="140" spans="1:21" ht="16.5" x14ac:dyDescent="0.3">
      <c r="A140" s="29"/>
      <c r="B140" s="27">
        <f t="shared" ca="1" si="24"/>
        <v>46296</v>
      </c>
      <c r="C140" s="19" t="str">
        <f>IF(D140="","",INDEX(Clients!B:B,MATCH(D140,Clients!A:A,0)))</f>
        <v>NS-CL-0001</v>
      </c>
      <c r="D140" s="19" t="s">
        <v>9</v>
      </c>
      <c r="E140" s="19"/>
      <c r="F140" s="19"/>
      <c r="G140" s="19"/>
      <c r="H140" s="24"/>
      <c r="I140" s="25" t="str">
        <f>IFERROR(INDEX(Service_Tarifs!$D$2:$D$271,MATCH(F140,Service_Tarifs!$B$2:$B$271,0)),"")</f>
        <v/>
      </c>
      <c r="J140" s="15" t="str">
        <f>IFERROR(INDEX(Service_Tarifs!$F$2:$F$271,MATCH(F140,Service_Tarifs!$B$2:$B$271,0)),"")</f>
        <v/>
      </c>
      <c r="K140" s="16" t="str">
        <f t="shared" si="25"/>
        <v/>
      </c>
      <c r="L140" s="15"/>
      <c r="M140" s="16" t="str">
        <f t="shared" si="26"/>
        <v/>
      </c>
      <c r="N140" s="16" t="str">
        <f t="shared" si="27"/>
        <v/>
      </c>
      <c r="O140" s="16" t="str">
        <f t="shared" si="28"/>
        <v/>
      </c>
      <c r="P140" s="16" t="str">
        <f t="shared" si="29"/>
        <v/>
      </c>
      <c r="Q140" s="30"/>
      <c r="R140" s="16" t="str">
        <f t="shared" si="30"/>
        <v/>
      </c>
      <c r="S140" s="16">
        <v>300000</v>
      </c>
      <c r="T140" s="17" t="str">
        <f t="shared" si="31"/>
        <v/>
      </c>
      <c r="U140" s="18">
        <f t="shared" ca="1" si="32"/>
        <v>46326</v>
      </c>
    </row>
    <row r="141" spans="1:21" ht="16.5" x14ac:dyDescent="0.3">
      <c r="A141" s="29"/>
      <c r="B141" s="27">
        <f t="shared" ca="1" si="24"/>
        <v>46296</v>
      </c>
      <c r="C141" s="19" t="str">
        <f>IF(D141="","",INDEX(Clients!B:B,MATCH(D141,Clients!A:A,0)))</f>
        <v>NS-CL-0001</v>
      </c>
      <c r="D141" s="19" t="s">
        <v>9</v>
      </c>
      <c r="E141" s="19"/>
      <c r="F141" s="19"/>
      <c r="G141" s="19"/>
      <c r="H141" s="24"/>
      <c r="I141" s="25" t="str">
        <f>IFERROR(INDEX(Service_Tarifs!$D$2:$D$271,MATCH(F141,Service_Tarifs!$B$2:$B$271,0)),"")</f>
        <v/>
      </c>
      <c r="J141" s="15" t="str">
        <f>IFERROR(INDEX(Service_Tarifs!$F$2:$F$271,MATCH(F141,Service_Tarifs!$B$2:$B$271,0)),"")</f>
        <v/>
      </c>
      <c r="K141" s="16" t="str">
        <f t="shared" si="25"/>
        <v/>
      </c>
      <c r="L141" s="15"/>
      <c r="M141" s="16" t="str">
        <f t="shared" si="26"/>
        <v/>
      </c>
      <c r="N141" s="16" t="str">
        <f t="shared" si="27"/>
        <v/>
      </c>
      <c r="O141" s="16" t="str">
        <f t="shared" si="28"/>
        <v/>
      </c>
      <c r="P141" s="16" t="str">
        <f t="shared" si="29"/>
        <v/>
      </c>
      <c r="Q141" s="30"/>
      <c r="R141" s="16" t="str">
        <f t="shared" si="30"/>
        <v/>
      </c>
      <c r="S141" s="16">
        <v>300000</v>
      </c>
      <c r="T141" s="17" t="str">
        <f t="shared" si="31"/>
        <v/>
      </c>
      <c r="U141" s="18">
        <f t="shared" ca="1" si="32"/>
        <v>46326</v>
      </c>
    </row>
    <row r="142" spans="1:21" ht="16.5" x14ac:dyDescent="0.3">
      <c r="A142" s="29"/>
      <c r="B142" s="27">
        <f t="shared" ca="1" si="24"/>
        <v>46296</v>
      </c>
      <c r="C142" s="19" t="str">
        <f>IF(D142="","",INDEX(Clients!B:B,MATCH(D142,Clients!A:A,0)))</f>
        <v>NS-CL-0001</v>
      </c>
      <c r="D142" s="19" t="s">
        <v>9</v>
      </c>
      <c r="E142" s="19"/>
      <c r="F142" s="19"/>
      <c r="G142" s="19"/>
      <c r="H142" s="24"/>
      <c r="I142" s="25" t="str">
        <f>IFERROR(INDEX(Service_Tarifs!$D$2:$D$271,MATCH(F142,Service_Tarifs!$B$2:$B$271,0)),"")</f>
        <v/>
      </c>
      <c r="J142" s="15" t="str">
        <f>IFERROR(INDEX(Service_Tarifs!$F$2:$F$271,MATCH(F142,Service_Tarifs!$B$2:$B$271,0)),"")</f>
        <v/>
      </c>
      <c r="K142" s="16" t="str">
        <f t="shared" si="25"/>
        <v/>
      </c>
      <c r="L142" s="15"/>
      <c r="M142" s="16" t="str">
        <f t="shared" si="26"/>
        <v/>
      </c>
      <c r="N142" s="16" t="str">
        <f t="shared" si="27"/>
        <v/>
      </c>
      <c r="O142" s="16" t="str">
        <f t="shared" si="28"/>
        <v/>
      </c>
      <c r="P142" s="16" t="str">
        <f t="shared" si="29"/>
        <v/>
      </c>
      <c r="Q142" s="30"/>
      <c r="R142" s="16" t="str">
        <f t="shared" si="30"/>
        <v/>
      </c>
      <c r="S142" s="16">
        <v>300000</v>
      </c>
      <c r="T142" s="17" t="str">
        <f t="shared" si="31"/>
        <v/>
      </c>
      <c r="U142" s="18">
        <f t="shared" ca="1" si="32"/>
        <v>46326</v>
      </c>
    </row>
    <row r="143" spans="1:21" ht="16.5" x14ac:dyDescent="0.3">
      <c r="A143" s="29"/>
      <c r="B143" s="27">
        <f t="shared" ca="1" si="24"/>
        <v>46296</v>
      </c>
      <c r="C143" s="19" t="str">
        <f>IF(D143="","",INDEX(Clients!B:B,MATCH(D143,Clients!A:A,0)))</f>
        <v>NS-CL-0001</v>
      </c>
      <c r="D143" s="19" t="s">
        <v>9</v>
      </c>
      <c r="E143" s="19"/>
      <c r="F143" s="19"/>
      <c r="G143" s="19"/>
      <c r="H143" s="24"/>
      <c r="I143" s="25" t="str">
        <f>IFERROR(INDEX(Service_Tarifs!$D$2:$D$271,MATCH(F143,Service_Tarifs!$B$2:$B$271,0)),"")</f>
        <v/>
      </c>
      <c r="J143" s="15" t="str">
        <f>IFERROR(INDEX(Service_Tarifs!$F$2:$F$271,MATCH(F143,Service_Tarifs!$B$2:$B$271,0)),"")</f>
        <v/>
      </c>
      <c r="K143" s="16" t="str">
        <f t="shared" si="25"/>
        <v/>
      </c>
      <c r="L143" s="15"/>
      <c r="M143" s="16" t="str">
        <f t="shared" si="26"/>
        <v/>
      </c>
      <c r="N143" s="16" t="str">
        <f t="shared" si="27"/>
        <v/>
      </c>
      <c r="O143" s="16" t="str">
        <f t="shared" si="28"/>
        <v/>
      </c>
      <c r="P143" s="16" t="str">
        <f t="shared" si="29"/>
        <v/>
      </c>
      <c r="Q143" s="30"/>
      <c r="R143" s="16" t="str">
        <f t="shared" si="30"/>
        <v/>
      </c>
      <c r="S143" s="16">
        <v>300000</v>
      </c>
      <c r="T143" s="17" t="str">
        <f t="shared" si="31"/>
        <v/>
      </c>
      <c r="U143" s="18">
        <f t="shared" ca="1" si="32"/>
        <v>46326</v>
      </c>
    </row>
    <row r="144" spans="1:21" ht="16.5" x14ac:dyDescent="0.3">
      <c r="A144" s="29"/>
      <c r="B144" s="27">
        <f t="shared" ca="1" si="24"/>
        <v>46296</v>
      </c>
      <c r="C144" s="19" t="str">
        <f>IF(D144="","",INDEX(Clients!B:B,MATCH(D144,Clients!A:A,0)))</f>
        <v>NS-CL-0001</v>
      </c>
      <c r="D144" s="19" t="s">
        <v>9</v>
      </c>
      <c r="E144" s="19"/>
      <c r="F144" s="19"/>
      <c r="G144" s="19"/>
      <c r="H144" s="24"/>
      <c r="I144" s="25" t="str">
        <f>IFERROR(INDEX(Service_Tarifs!$D$2:$D$271,MATCH(F144,Service_Tarifs!$B$2:$B$271,0)),"")</f>
        <v/>
      </c>
      <c r="J144" s="15" t="str">
        <f>IFERROR(INDEX(Service_Tarifs!$F$2:$F$271,MATCH(F144,Service_Tarifs!$B$2:$B$271,0)),"")</f>
        <v/>
      </c>
      <c r="K144" s="16" t="str">
        <f t="shared" si="25"/>
        <v/>
      </c>
      <c r="L144" s="15"/>
      <c r="M144" s="16" t="str">
        <f t="shared" si="26"/>
        <v/>
      </c>
      <c r="N144" s="16" t="str">
        <f t="shared" si="27"/>
        <v/>
      </c>
      <c r="O144" s="16" t="str">
        <f t="shared" si="28"/>
        <v/>
      </c>
      <c r="P144" s="16" t="str">
        <f t="shared" si="29"/>
        <v/>
      </c>
      <c r="Q144" s="30"/>
      <c r="R144" s="16" t="str">
        <f t="shared" si="30"/>
        <v/>
      </c>
      <c r="S144" s="16">
        <v>300000</v>
      </c>
      <c r="T144" s="17" t="str">
        <f t="shared" si="31"/>
        <v/>
      </c>
      <c r="U144" s="18">
        <f t="shared" ca="1" si="32"/>
        <v>46326</v>
      </c>
    </row>
    <row r="145" spans="1:21" ht="16.5" x14ac:dyDescent="0.3">
      <c r="A145" s="29"/>
      <c r="B145" s="27">
        <f t="shared" ca="1" si="24"/>
        <v>46296</v>
      </c>
      <c r="C145" s="19" t="str">
        <f>IF(D145="","",INDEX(Clients!B:B,MATCH(D145,Clients!A:A,0)))</f>
        <v>NS-CL-0001</v>
      </c>
      <c r="D145" s="19" t="s">
        <v>9</v>
      </c>
      <c r="E145" s="19"/>
      <c r="F145" s="19"/>
      <c r="G145" s="19"/>
      <c r="H145" s="24"/>
      <c r="I145" s="25" t="str">
        <f>IFERROR(INDEX(Service_Tarifs!$D$2:$D$271,MATCH(F145,Service_Tarifs!$B$2:$B$271,0)),"")</f>
        <v/>
      </c>
      <c r="J145" s="15" t="str">
        <f>IFERROR(INDEX(Service_Tarifs!$F$2:$F$271,MATCH(F145,Service_Tarifs!$B$2:$B$271,0)),"")</f>
        <v/>
      </c>
      <c r="K145" s="16" t="str">
        <f t="shared" si="25"/>
        <v/>
      </c>
      <c r="L145" s="15"/>
      <c r="M145" s="16" t="str">
        <f t="shared" si="26"/>
        <v/>
      </c>
      <c r="N145" s="16" t="str">
        <f t="shared" si="27"/>
        <v/>
      </c>
      <c r="O145" s="16" t="str">
        <f t="shared" si="28"/>
        <v/>
      </c>
      <c r="P145" s="16" t="str">
        <f t="shared" si="29"/>
        <v/>
      </c>
      <c r="Q145" s="30"/>
      <c r="R145" s="16" t="str">
        <f t="shared" si="30"/>
        <v/>
      </c>
      <c r="S145" s="16">
        <v>300000</v>
      </c>
      <c r="T145" s="17" t="str">
        <f t="shared" si="31"/>
        <v/>
      </c>
      <c r="U145" s="18">
        <f t="shared" ca="1" si="32"/>
        <v>46326</v>
      </c>
    </row>
    <row r="146" spans="1:21" ht="16.5" x14ac:dyDescent="0.3">
      <c r="A146" s="29"/>
      <c r="B146" s="27">
        <f t="shared" ca="1" si="24"/>
        <v>46296</v>
      </c>
      <c r="C146" s="19" t="str">
        <f>IF(D146="","",INDEX(Clients!B:B,MATCH(D146,Clients!A:A,0)))</f>
        <v>NS-CL-0001</v>
      </c>
      <c r="D146" s="19" t="s">
        <v>9</v>
      </c>
      <c r="E146" s="19"/>
      <c r="F146" s="19"/>
      <c r="G146" s="19"/>
      <c r="H146" s="24"/>
      <c r="I146" s="25" t="str">
        <f>IFERROR(INDEX(Service_Tarifs!$D$2:$D$271,MATCH(F146,Service_Tarifs!$B$2:$B$271,0)),"")</f>
        <v/>
      </c>
      <c r="J146" s="15" t="str">
        <f>IFERROR(INDEX(Service_Tarifs!$F$2:$F$271,MATCH(F146,Service_Tarifs!$B$2:$B$271,0)),"")</f>
        <v/>
      </c>
      <c r="K146" s="16" t="str">
        <f t="shared" si="25"/>
        <v/>
      </c>
      <c r="L146" s="15"/>
      <c r="M146" s="16" t="str">
        <f t="shared" si="26"/>
        <v/>
      </c>
      <c r="N146" s="16" t="str">
        <f t="shared" si="27"/>
        <v/>
      </c>
      <c r="O146" s="16" t="str">
        <f t="shared" si="28"/>
        <v/>
      </c>
      <c r="P146" s="16" t="str">
        <f t="shared" si="29"/>
        <v/>
      </c>
      <c r="Q146" s="30"/>
      <c r="R146" s="16" t="str">
        <f t="shared" si="30"/>
        <v/>
      </c>
      <c r="S146" s="16">
        <v>300000</v>
      </c>
      <c r="T146" s="17" t="str">
        <f t="shared" si="31"/>
        <v/>
      </c>
      <c r="U146" s="18">
        <f t="shared" ca="1" si="32"/>
        <v>46326</v>
      </c>
    </row>
    <row r="147" spans="1:21" ht="16.5" x14ac:dyDescent="0.3">
      <c r="A147" s="29"/>
      <c r="B147" s="27">
        <f t="shared" ca="1" si="24"/>
        <v>46296</v>
      </c>
      <c r="C147" s="19" t="str">
        <f>IF(D147="","",INDEX(Clients!B:B,MATCH(D147,Clients!A:A,0)))</f>
        <v>NS-CL-0001</v>
      </c>
      <c r="D147" s="19" t="s">
        <v>9</v>
      </c>
      <c r="E147" s="19"/>
      <c r="F147" s="19"/>
      <c r="G147" s="19"/>
      <c r="H147" s="24"/>
      <c r="I147" s="25" t="str">
        <f>IFERROR(INDEX(Service_Tarifs!$D$2:$D$271,MATCH(F147,Service_Tarifs!$B$2:$B$271,0)),"")</f>
        <v/>
      </c>
      <c r="J147" s="15" t="str">
        <f>IFERROR(INDEX(Service_Tarifs!$F$2:$F$271,MATCH(F147,Service_Tarifs!$B$2:$B$271,0)),"")</f>
        <v/>
      </c>
      <c r="K147" s="16" t="str">
        <f t="shared" si="25"/>
        <v/>
      </c>
      <c r="L147" s="15"/>
      <c r="M147" s="16" t="str">
        <f t="shared" si="26"/>
        <v/>
      </c>
      <c r="N147" s="16" t="str">
        <f t="shared" si="27"/>
        <v/>
      </c>
      <c r="O147" s="16" t="str">
        <f t="shared" si="28"/>
        <v/>
      </c>
      <c r="P147" s="16" t="str">
        <f t="shared" si="29"/>
        <v/>
      </c>
      <c r="Q147" s="30"/>
      <c r="R147" s="16" t="str">
        <f t="shared" si="30"/>
        <v/>
      </c>
      <c r="S147" s="16">
        <v>300000</v>
      </c>
      <c r="T147" s="17" t="str">
        <f t="shared" si="31"/>
        <v/>
      </c>
      <c r="U147" s="18">
        <f t="shared" ca="1" si="32"/>
        <v>46326</v>
      </c>
    </row>
    <row r="148" spans="1:21" ht="16.5" x14ac:dyDescent="0.3">
      <c r="A148" s="29"/>
      <c r="B148" s="27">
        <f t="shared" ca="1" si="24"/>
        <v>46296</v>
      </c>
      <c r="C148" s="19" t="str">
        <f>IF(D148="","",INDEX(Clients!B:B,MATCH(D148,Clients!A:A,0)))</f>
        <v>NS-CL-0001</v>
      </c>
      <c r="D148" s="19" t="s">
        <v>9</v>
      </c>
      <c r="E148" s="19"/>
      <c r="F148" s="19"/>
      <c r="G148" s="19"/>
      <c r="H148" s="24"/>
      <c r="I148" s="25" t="str">
        <f>IFERROR(INDEX(Service_Tarifs!$D$2:$D$271,MATCH(F148,Service_Tarifs!$B$2:$B$271,0)),"")</f>
        <v/>
      </c>
      <c r="J148" s="15" t="str">
        <f>IFERROR(INDEX(Service_Tarifs!$F$2:$F$271,MATCH(F148,Service_Tarifs!$B$2:$B$271,0)),"")</f>
        <v/>
      </c>
      <c r="K148" s="16" t="str">
        <f t="shared" si="25"/>
        <v/>
      </c>
      <c r="L148" s="15"/>
      <c r="M148" s="16" t="str">
        <f t="shared" si="26"/>
        <v/>
      </c>
      <c r="N148" s="16" t="str">
        <f t="shared" si="27"/>
        <v/>
      </c>
      <c r="O148" s="16" t="str">
        <f t="shared" si="28"/>
        <v/>
      </c>
      <c r="P148" s="16" t="str">
        <f t="shared" si="29"/>
        <v/>
      </c>
      <c r="Q148" s="30"/>
      <c r="R148" s="16" t="str">
        <f t="shared" si="30"/>
        <v/>
      </c>
      <c r="S148" s="16">
        <v>300000</v>
      </c>
      <c r="T148" s="17" t="str">
        <f t="shared" si="31"/>
        <v/>
      </c>
      <c r="U148" s="18">
        <f t="shared" ca="1" si="32"/>
        <v>46326</v>
      </c>
    </row>
    <row r="149" spans="1:21" ht="16.5" x14ac:dyDescent="0.3">
      <c r="A149" s="29"/>
      <c r="B149" s="27">
        <f t="shared" ca="1" si="24"/>
        <v>46296</v>
      </c>
      <c r="C149" s="19" t="str">
        <f>IF(D149="","",INDEX(Clients!B:B,MATCH(D149,Clients!A:A,0)))</f>
        <v>NS-CL-0001</v>
      </c>
      <c r="D149" s="19" t="s">
        <v>9</v>
      </c>
      <c r="E149" s="19"/>
      <c r="F149" s="19"/>
      <c r="G149" s="19"/>
      <c r="H149" s="24"/>
      <c r="I149" s="25" t="str">
        <f>IFERROR(INDEX(Service_Tarifs!$D$2:$D$271,MATCH(F149,Service_Tarifs!$B$2:$B$271,0)),"")</f>
        <v/>
      </c>
      <c r="J149" s="15" t="str">
        <f>IFERROR(INDEX(Service_Tarifs!$F$2:$F$271,MATCH(F149,Service_Tarifs!$B$2:$B$271,0)),"")</f>
        <v/>
      </c>
      <c r="K149" s="16" t="str">
        <f t="shared" si="25"/>
        <v/>
      </c>
      <c r="L149" s="15"/>
      <c r="M149" s="16" t="str">
        <f t="shared" si="26"/>
        <v/>
      </c>
      <c r="N149" s="16" t="str">
        <f t="shared" si="27"/>
        <v/>
      </c>
      <c r="O149" s="16" t="str">
        <f t="shared" si="28"/>
        <v/>
      </c>
      <c r="P149" s="16" t="str">
        <f t="shared" si="29"/>
        <v/>
      </c>
      <c r="Q149" s="30"/>
      <c r="R149" s="16" t="str">
        <f t="shared" si="30"/>
        <v/>
      </c>
      <c r="S149" s="16">
        <v>300000</v>
      </c>
      <c r="T149" s="17" t="str">
        <f t="shared" si="31"/>
        <v/>
      </c>
      <c r="U149" s="18">
        <f t="shared" ca="1" si="32"/>
        <v>46326</v>
      </c>
    </row>
    <row r="150" spans="1:21" ht="16.5" x14ac:dyDescent="0.3">
      <c r="A150" s="29"/>
      <c r="B150" s="27">
        <f t="shared" ca="1" si="24"/>
        <v>46296</v>
      </c>
      <c r="C150" s="19" t="str">
        <f>IF(D150="","",INDEX(Clients!B:B,MATCH(D150,Clients!A:A,0)))</f>
        <v>NS-CL-0001</v>
      </c>
      <c r="D150" s="19" t="s">
        <v>9</v>
      </c>
      <c r="E150" s="19"/>
      <c r="F150" s="19"/>
      <c r="G150" s="19"/>
      <c r="H150" s="24"/>
      <c r="I150" s="25" t="str">
        <f>IFERROR(INDEX(Service_Tarifs!$D$2:$D$271,MATCH(F150,Service_Tarifs!$B$2:$B$271,0)),"")</f>
        <v/>
      </c>
      <c r="J150" s="15" t="str">
        <f>IFERROR(INDEX(Service_Tarifs!$F$2:$F$271,MATCH(F150,Service_Tarifs!$B$2:$B$271,0)),"")</f>
        <v/>
      </c>
      <c r="K150" s="16" t="str">
        <f t="shared" si="25"/>
        <v/>
      </c>
      <c r="L150" s="15"/>
      <c r="M150" s="16" t="str">
        <f t="shared" si="26"/>
        <v/>
      </c>
      <c r="N150" s="16" t="str">
        <f t="shared" si="27"/>
        <v/>
      </c>
      <c r="O150" s="16" t="str">
        <f t="shared" si="28"/>
        <v/>
      </c>
      <c r="P150" s="16" t="str">
        <f t="shared" si="29"/>
        <v/>
      </c>
      <c r="Q150" s="30"/>
      <c r="R150" s="16" t="str">
        <f t="shared" si="30"/>
        <v/>
      </c>
      <c r="S150" s="16">
        <v>300000</v>
      </c>
      <c r="T150" s="17" t="str">
        <f t="shared" si="31"/>
        <v/>
      </c>
      <c r="U150" s="18">
        <f t="shared" ca="1" si="32"/>
        <v>46326</v>
      </c>
    </row>
    <row r="151" spans="1:21" x14ac:dyDescent="0.25">
      <c r="A151" s="29"/>
      <c r="J151" s="11"/>
    </row>
    <row r="152" spans="1:21" x14ac:dyDescent="0.25">
      <c r="A152" s="29"/>
      <c r="J152" s="11"/>
    </row>
    <row r="153" spans="1:21" x14ac:dyDescent="0.25">
      <c r="A153" s="29"/>
    </row>
    <row r="154" spans="1:21" x14ac:dyDescent="0.25">
      <c r="A154" s="29"/>
    </row>
    <row r="155" spans="1:21" x14ac:dyDescent="0.25">
      <c r="A155" s="29"/>
    </row>
    <row r="156" spans="1:21" x14ac:dyDescent="0.25">
      <c r="A156" s="29"/>
    </row>
    <row r="157" spans="1:21" x14ac:dyDescent="0.25">
      <c r="A157" s="29"/>
    </row>
    <row r="158" spans="1:21" x14ac:dyDescent="0.25">
      <c r="A158" s="29"/>
    </row>
    <row r="159" spans="1:21" x14ac:dyDescent="0.25">
      <c r="A159" s="29"/>
    </row>
    <row r="160" spans="1:21" x14ac:dyDescent="0.25">
      <c r="A160" s="29"/>
    </row>
    <row r="161" spans="1:1" x14ac:dyDescent="0.25">
      <c r="A161" s="29"/>
    </row>
    <row r="162" spans="1:1" x14ac:dyDescent="0.25">
      <c r="A162" s="29"/>
    </row>
    <row r="163" spans="1:1" x14ac:dyDescent="0.25">
      <c r="A163" s="29"/>
    </row>
    <row r="164" spans="1:1" x14ac:dyDescent="0.25">
      <c r="A164" s="29"/>
    </row>
    <row r="165" spans="1:1" x14ac:dyDescent="0.25">
      <c r="A165" s="29"/>
    </row>
    <row r="166" spans="1:1" x14ac:dyDescent="0.25">
      <c r="A166" s="29"/>
    </row>
    <row r="167" spans="1:1" x14ac:dyDescent="0.25">
      <c r="A167" s="29"/>
    </row>
    <row r="168" spans="1:1" x14ac:dyDescent="0.25">
      <c r="A168" s="29"/>
    </row>
    <row r="169" spans="1:1" x14ac:dyDescent="0.25">
      <c r="A169" s="29"/>
    </row>
    <row r="170" spans="1:1" x14ac:dyDescent="0.25">
      <c r="A170" s="29"/>
    </row>
    <row r="171" spans="1:1" x14ac:dyDescent="0.25">
      <c r="A171" s="29"/>
    </row>
    <row r="172" spans="1:1" x14ac:dyDescent="0.25">
      <c r="A172" s="29"/>
    </row>
    <row r="173" spans="1:1" x14ac:dyDescent="0.25">
      <c r="A173" s="29"/>
    </row>
    <row r="174" spans="1:1" x14ac:dyDescent="0.25">
      <c r="A174" s="29"/>
    </row>
    <row r="175" spans="1:1" x14ac:dyDescent="0.25">
      <c r="A175" s="29"/>
    </row>
    <row r="176" spans="1:1" x14ac:dyDescent="0.25">
      <c r="A176" s="29"/>
    </row>
    <row r="177" spans="1:1" x14ac:dyDescent="0.25">
      <c r="A177" s="29"/>
    </row>
    <row r="178" spans="1:1" x14ac:dyDescent="0.25">
      <c r="A178" s="29"/>
    </row>
    <row r="179" spans="1:1" x14ac:dyDescent="0.25">
      <c r="A179" s="29"/>
    </row>
    <row r="180" spans="1:1" x14ac:dyDescent="0.25">
      <c r="A180" s="29"/>
    </row>
    <row r="181" spans="1:1" x14ac:dyDescent="0.25">
      <c r="A181" s="29"/>
    </row>
    <row r="182" spans="1:1" x14ac:dyDescent="0.25">
      <c r="A182" s="29"/>
    </row>
    <row r="183" spans="1:1" x14ac:dyDescent="0.25">
      <c r="A183" s="29"/>
    </row>
    <row r="184" spans="1:1" x14ac:dyDescent="0.25">
      <c r="A184" s="29"/>
    </row>
    <row r="185" spans="1:1" x14ac:dyDescent="0.25">
      <c r="A185" s="29"/>
    </row>
    <row r="186" spans="1:1" x14ac:dyDescent="0.25">
      <c r="A186" s="29"/>
    </row>
    <row r="187" spans="1:1" x14ac:dyDescent="0.25">
      <c r="A187" s="29"/>
    </row>
    <row r="188" spans="1:1" x14ac:dyDescent="0.25">
      <c r="A188" s="29"/>
    </row>
    <row r="189" spans="1:1" x14ac:dyDescent="0.25">
      <c r="A189" s="29"/>
    </row>
    <row r="190" spans="1:1" x14ac:dyDescent="0.25">
      <c r="A190" s="29"/>
    </row>
    <row r="191" spans="1:1" x14ac:dyDescent="0.25">
      <c r="A191" s="29"/>
    </row>
    <row r="192" spans="1:1" x14ac:dyDescent="0.25">
      <c r="A192" s="29"/>
    </row>
    <row r="193" spans="1:1" x14ac:dyDescent="0.25">
      <c r="A193" s="29"/>
    </row>
    <row r="194" spans="1:1" x14ac:dyDescent="0.25">
      <c r="A194" s="29"/>
    </row>
    <row r="195" spans="1:1" x14ac:dyDescent="0.25">
      <c r="A195" s="29"/>
    </row>
    <row r="196" spans="1:1" x14ac:dyDescent="0.25">
      <c r="A196" s="29"/>
    </row>
    <row r="197" spans="1:1" x14ac:dyDescent="0.25">
      <c r="A197" s="29"/>
    </row>
    <row r="198" spans="1:1" x14ac:dyDescent="0.25">
      <c r="A198" s="29"/>
    </row>
    <row r="199" spans="1:1" x14ac:dyDescent="0.25">
      <c r="A199" s="29"/>
    </row>
    <row r="200" spans="1:1" x14ac:dyDescent="0.25">
      <c r="A200" s="29"/>
    </row>
    <row r="201" spans="1:1" x14ac:dyDescent="0.25">
      <c r="A201" s="29"/>
    </row>
    <row r="202" spans="1:1" x14ac:dyDescent="0.25">
      <c r="A202" s="29"/>
    </row>
    <row r="203" spans="1:1" x14ac:dyDescent="0.25">
      <c r="A203" s="29"/>
    </row>
    <row r="204" spans="1:1" x14ac:dyDescent="0.25">
      <c r="A204" s="29"/>
    </row>
    <row r="205" spans="1:1" x14ac:dyDescent="0.25">
      <c r="A205" s="29"/>
    </row>
    <row r="206" spans="1:1" x14ac:dyDescent="0.25">
      <c r="A206" s="29"/>
    </row>
    <row r="207" spans="1:1" x14ac:dyDescent="0.25">
      <c r="A207" s="29"/>
    </row>
    <row r="208" spans="1:1" x14ac:dyDescent="0.25">
      <c r="A208" s="29"/>
    </row>
    <row r="209" spans="1:1" x14ac:dyDescent="0.25">
      <c r="A209" s="29"/>
    </row>
    <row r="210" spans="1:1" x14ac:dyDescent="0.25">
      <c r="A210" s="29"/>
    </row>
    <row r="211" spans="1:1" x14ac:dyDescent="0.25">
      <c r="A211" s="29"/>
    </row>
    <row r="212" spans="1:1" x14ac:dyDescent="0.25">
      <c r="A212" s="29"/>
    </row>
    <row r="213" spans="1:1" x14ac:dyDescent="0.25">
      <c r="A213" s="29"/>
    </row>
    <row r="214" spans="1:1" x14ac:dyDescent="0.25">
      <c r="A214" s="29"/>
    </row>
    <row r="215" spans="1:1" x14ac:dyDescent="0.25">
      <c r="A215" s="29"/>
    </row>
    <row r="216" spans="1:1" x14ac:dyDescent="0.25">
      <c r="A216" s="29"/>
    </row>
    <row r="217" spans="1:1" x14ac:dyDescent="0.25">
      <c r="A217" s="29"/>
    </row>
    <row r="218" spans="1:1" x14ac:dyDescent="0.25">
      <c r="A218" s="29"/>
    </row>
    <row r="219" spans="1:1" x14ac:dyDescent="0.25">
      <c r="A219" s="29"/>
    </row>
    <row r="220" spans="1:1" x14ac:dyDescent="0.25">
      <c r="A220" s="29"/>
    </row>
    <row r="221" spans="1:1" x14ac:dyDescent="0.25">
      <c r="A221" s="29"/>
    </row>
    <row r="222" spans="1:1" x14ac:dyDescent="0.25">
      <c r="A222" s="29"/>
    </row>
    <row r="223" spans="1:1" x14ac:dyDescent="0.25">
      <c r="A223" s="29"/>
    </row>
    <row r="224" spans="1:1" x14ac:dyDescent="0.25">
      <c r="A224" s="29"/>
    </row>
    <row r="225" spans="1:1" x14ac:dyDescent="0.25">
      <c r="A225" s="29"/>
    </row>
    <row r="226" spans="1:1" x14ac:dyDescent="0.25">
      <c r="A226" s="29"/>
    </row>
    <row r="227" spans="1:1" x14ac:dyDescent="0.25">
      <c r="A227" s="29"/>
    </row>
    <row r="228" spans="1:1" x14ac:dyDescent="0.25">
      <c r="A228" s="29"/>
    </row>
    <row r="229" spans="1:1" x14ac:dyDescent="0.25">
      <c r="A229" s="29"/>
    </row>
    <row r="230" spans="1:1" x14ac:dyDescent="0.25">
      <c r="A230" s="29"/>
    </row>
    <row r="231" spans="1:1" x14ac:dyDescent="0.25">
      <c r="A231" s="29"/>
    </row>
    <row r="232" spans="1:1" x14ac:dyDescent="0.25">
      <c r="A232" s="29"/>
    </row>
    <row r="233" spans="1:1" x14ac:dyDescent="0.25">
      <c r="A233" s="29"/>
    </row>
    <row r="234" spans="1:1" x14ac:dyDescent="0.25">
      <c r="A234" s="29"/>
    </row>
    <row r="235" spans="1:1" x14ac:dyDescent="0.25">
      <c r="A235" s="29"/>
    </row>
    <row r="236" spans="1:1" x14ac:dyDescent="0.25">
      <c r="A236" s="29"/>
    </row>
    <row r="237" spans="1:1" x14ac:dyDescent="0.25">
      <c r="A237" s="29"/>
    </row>
    <row r="238" spans="1:1" x14ac:dyDescent="0.25">
      <c r="A238" s="29"/>
    </row>
    <row r="239" spans="1:1" x14ac:dyDescent="0.25">
      <c r="A239" s="29"/>
    </row>
    <row r="240" spans="1:1" x14ac:dyDescent="0.25">
      <c r="A240" s="29"/>
    </row>
    <row r="241" spans="1:1" x14ac:dyDescent="0.25">
      <c r="A241" s="29"/>
    </row>
    <row r="242" spans="1:1" x14ac:dyDescent="0.25">
      <c r="A242" s="29"/>
    </row>
    <row r="243" spans="1:1" x14ac:dyDescent="0.25">
      <c r="A243" s="29"/>
    </row>
    <row r="244" spans="1:1" x14ac:dyDescent="0.25">
      <c r="A244" s="29"/>
    </row>
    <row r="245" spans="1:1" x14ac:dyDescent="0.25">
      <c r="A245" s="29"/>
    </row>
    <row r="246" spans="1:1" x14ac:dyDescent="0.25">
      <c r="A246" s="29"/>
    </row>
    <row r="247" spans="1:1" x14ac:dyDescent="0.25">
      <c r="A247" s="29"/>
    </row>
    <row r="248" spans="1:1" x14ac:dyDescent="0.25">
      <c r="A248" s="29"/>
    </row>
    <row r="249" spans="1:1" x14ac:dyDescent="0.25">
      <c r="A249" s="29"/>
    </row>
    <row r="250" spans="1:1" x14ac:dyDescent="0.25">
      <c r="A250" s="29"/>
    </row>
    <row r="251" spans="1:1" x14ac:dyDescent="0.25">
      <c r="A251" s="29"/>
    </row>
    <row r="252" spans="1:1" x14ac:dyDescent="0.25">
      <c r="A252" s="29"/>
    </row>
    <row r="253" spans="1:1" x14ac:dyDescent="0.25">
      <c r="A253" s="29"/>
    </row>
    <row r="254" spans="1:1" x14ac:dyDescent="0.25">
      <c r="A254" s="29"/>
    </row>
    <row r="255" spans="1:1" x14ac:dyDescent="0.25">
      <c r="A255" s="29"/>
    </row>
    <row r="256" spans="1:1" x14ac:dyDescent="0.25">
      <c r="A256" s="29"/>
    </row>
    <row r="257" spans="1:1" x14ac:dyDescent="0.25">
      <c r="A257" s="29"/>
    </row>
    <row r="258" spans="1:1" x14ac:dyDescent="0.25">
      <c r="A258" s="29"/>
    </row>
    <row r="259" spans="1:1" x14ac:dyDescent="0.25">
      <c r="A259" s="29"/>
    </row>
    <row r="260" spans="1:1" x14ac:dyDescent="0.25">
      <c r="A260" s="29"/>
    </row>
    <row r="261" spans="1:1" x14ac:dyDescent="0.25">
      <c r="A261" s="29"/>
    </row>
    <row r="262" spans="1:1" x14ac:dyDescent="0.25">
      <c r="A262" s="29"/>
    </row>
    <row r="263" spans="1:1" x14ac:dyDescent="0.25">
      <c r="A263" s="29"/>
    </row>
    <row r="264" spans="1:1" x14ac:dyDescent="0.25">
      <c r="A264" s="29"/>
    </row>
    <row r="265" spans="1:1" x14ac:dyDescent="0.25">
      <c r="A265" s="29"/>
    </row>
    <row r="266" spans="1:1" x14ac:dyDescent="0.25">
      <c r="A266" s="29"/>
    </row>
    <row r="267" spans="1:1" x14ac:dyDescent="0.25">
      <c r="A267" s="29"/>
    </row>
    <row r="268" spans="1:1" x14ac:dyDescent="0.25">
      <c r="A268" s="29"/>
    </row>
    <row r="269" spans="1:1" x14ac:dyDescent="0.25">
      <c r="A269" s="29"/>
    </row>
    <row r="270" spans="1:1" x14ac:dyDescent="0.25">
      <c r="A270" s="29"/>
    </row>
    <row r="271" spans="1:1" x14ac:dyDescent="0.25">
      <c r="A271" s="29"/>
    </row>
    <row r="272" spans="1:1" x14ac:dyDescent="0.25">
      <c r="A272" s="29"/>
    </row>
    <row r="273" spans="1:1" x14ac:dyDescent="0.25">
      <c r="A273" s="29"/>
    </row>
    <row r="274" spans="1:1" x14ac:dyDescent="0.25">
      <c r="A274" s="29"/>
    </row>
    <row r="275" spans="1:1" x14ac:dyDescent="0.25">
      <c r="A275" s="29"/>
    </row>
    <row r="276" spans="1:1" x14ac:dyDescent="0.25">
      <c r="A276" s="29"/>
    </row>
    <row r="277" spans="1:1" x14ac:dyDescent="0.25">
      <c r="A277" s="29"/>
    </row>
    <row r="278" spans="1:1" x14ac:dyDescent="0.25">
      <c r="A278" s="29"/>
    </row>
    <row r="279" spans="1:1" x14ac:dyDescent="0.25">
      <c r="A279" s="29"/>
    </row>
    <row r="280" spans="1:1" x14ac:dyDescent="0.25">
      <c r="A280" s="29"/>
    </row>
    <row r="281" spans="1:1" x14ac:dyDescent="0.25">
      <c r="A281" s="29"/>
    </row>
    <row r="282" spans="1:1" x14ac:dyDescent="0.25">
      <c r="A282" s="29"/>
    </row>
    <row r="283" spans="1:1" x14ac:dyDescent="0.25">
      <c r="A283" s="29"/>
    </row>
    <row r="284" spans="1:1" x14ac:dyDescent="0.25">
      <c r="A284" s="29"/>
    </row>
    <row r="285" spans="1:1" x14ac:dyDescent="0.25">
      <c r="A285" s="29"/>
    </row>
    <row r="286" spans="1:1" x14ac:dyDescent="0.25">
      <c r="A286" s="29"/>
    </row>
    <row r="287" spans="1:1" x14ac:dyDescent="0.25">
      <c r="A287" s="29"/>
    </row>
    <row r="288" spans="1:1" x14ac:dyDescent="0.25">
      <c r="A288" s="29"/>
    </row>
    <row r="289" spans="1:1" x14ac:dyDescent="0.25">
      <c r="A289" s="29"/>
    </row>
    <row r="290" spans="1:1" x14ac:dyDescent="0.25">
      <c r="A290" s="29"/>
    </row>
    <row r="291" spans="1:1" x14ac:dyDescent="0.25">
      <c r="A291" s="29"/>
    </row>
    <row r="292" spans="1:1" x14ac:dyDescent="0.25">
      <c r="A292" s="29"/>
    </row>
    <row r="293" spans="1:1" x14ac:dyDescent="0.25">
      <c r="A293" s="29"/>
    </row>
    <row r="294" spans="1:1" x14ac:dyDescent="0.25">
      <c r="A294" s="29"/>
    </row>
    <row r="295" spans="1:1" x14ac:dyDescent="0.25">
      <c r="A295" s="29"/>
    </row>
    <row r="296" spans="1:1" x14ac:dyDescent="0.25">
      <c r="A296" s="29"/>
    </row>
    <row r="297" spans="1:1" x14ac:dyDescent="0.25">
      <c r="A297" s="29"/>
    </row>
    <row r="298" spans="1:1" x14ac:dyDescent="0.25">
      <c r="A298" s="29"/>
    </row>
    <row r="299" spans="1:1" x14ac:dyDescent="0.25">
      <c r="A299" s="29"/>
    </row>
    <row r="300" spans="1:1" x14ac:dyDescent="0.25">
      <c r="A300" s="29"/>
    </row>
    <row r="301" spans="1:1" x14ac:dyDescent="0.25">
      <c r="A301" s="29"/>
    </row>
    <row r="302" spans="1:1" x14ac:dyDescent="0.25">
      <c r="A302" s="29"/>
    </row>
    <row r="303" spans="1:1" x14ac:dyDescent="0.25">
      <c r="A303" s="29"/>
    </row>
    <row r="304" spans="1:1" x14ac:dyDescent="0.25">
      <c r="A304" s="29"/>
    </row>
    <row r="305" spans="1:1" x14ac:dyDescent="0.25">
      <c r="A305" s="29"/>
    </row>
    <row r="306" spans="1:1" x14ac:dyDescent="0.25">
      <c r="A306" s="29"/>
    </row>
    <row r="307" spans="1:1" x14ac:dyDescent="0.25">
      <c r="A307" s="29"/>
    </row>
    <row r="308" spans="1:1" x14ac:dyDescent="0.25">
      <c r="A308" s="29"/>
    </row>
    <row r="309" spans="1:1" x14ac:dyDescent="0.25">
      <c r="A309" s="29"/>
    </row>
    <row r="310" spans="1:1" x14ac:dyDescent="0.25">
      <c r="A310" s="29"/>
    </row>
    <row r="311" spans="1:1" x14ac:dyDescent="0.25">
      <c r="A311" s="29"/>
    </row>
    <row r="312" spans="1:1" x14ac:dyDescent="0.25">
      <c r="A312" s="29"/>
    </row>
    <row r="313" spans="1:1" x14ac:dyDescent="0.25">
      <c r="A313" s="29"/>
    </row>
    <row r="314" spans="1:1" x14ac:dyDescent="0.25">
      <c r="A314" s="29"/>
    </row>
    <row r="315" spans="1:1" x14ac:dyDescent="0.25">
      <c r="A315" s="29"/>
    </row>
    <row r="316" spans="1:1" x14ac:dyDescent="0.25">
      <c r="A316" s="29"/>
    </row>
    <row r="317" spans="1:1" x14ac:dyDescent="0.25">
      <c r="A317" s="29"/>
    </row>
    <row r="318" spans="1:1" x14ac:dyDescent="0.25">
      <c r="A318" s="29"/>
    </row>
    <row r="319" spans="1:1" x14ac:dyDescent="0.25">
      <c r="A319" s="29"/>
    </row>
    <row r="320" spans="1:1" x14ac:dyDescent="0.25">
      <c r="A320" s="29"/>
    </row>
    <row r="321" spans="1:1" x14ac:dyDescent="0.25">
      <c r="A321" s="29"/>
    </row>
    <row r="322" spans="1:1" x14ac:dyDescent="0.25">
      <c r="A322" s="29"/>
    </row>
    <row r="323" spans="1:1" x14ac:dyDescent="0.25">
      <c r="A323" s="29"/>
    </row>
    <row r="324" spans="1:1" x14ac:dyDescent="0.25">
      <c r="A324" s="29"/>
    </row>
    <row r="325" spans="1:1" x14ac:dyDescent="0.25">
      <c r="A325" s="29"/>
    </row>
    <row r="326" spans="1:1" x14ac:dyDescent="0.25">
      <c r="A326" s="29"/>
    </row>
    <row r="327" spans="1:1" x14ac:dyDescent="0.25">
      <c r="A327" s="29"/>
    </row>
    <row r="328" spans="1:1" x14ac:dyDescent="0.25">
      <c r="A328" s="29"/>
    </row>
    <row r="329" spans="1:1" x14ac:dyDescent="0.25">
      <c r="A329" s="29"/>
    </row>
    <row r="330" spans="1:1" x14ac:dyDescent="0.25">
      <c r="A330" s="29"/>
    </row>
    <row r="331" spans="1:1" x14ac:dyDescent="0.25">
      <c r="A331" s="29"/>
    </row>
    <row r="332" spans="1:1" x14ac:dyDescent="0.25">
      <c r="A332" s="29"/>
    </row>
    <row r="333" spans="1:1" x14ac:dyDescent="0.25">
      <c r="A333" s="29"/>
    </row>
    <row r="334" spans="1:1" x14ac:dyDescent="0.25">
      <c r="A334" s="29"/>
    </row>
    <row r="335" spans="1:1" x14ac:dyDescent="0.25">
      <c r="A335" s="29"/>
    </row>
    <row r="336" spans="1:1" x14ac:dyDescent="0.25">
      <c r="A336" s="29"/>
    </row>
    <row r="337" spans="1:1" x14ac:dyDescent="0.25">
      <c r="A337" s="29"/>
    </row>
    <row r="338" spans="1:1" x14ac:dyDescent="0.25">
      <c r="A338" s="29"/>
    </row>
    <row r="339" spans="1:1" x14ac:dyDescent="0.25">
      <c r="A339" s="29"/>
    </row>
    <row r="340" spans="1:1" x14ac:dyDescent="0.25">
      <c r="A340" s="29"/>
    </row>
    <row r="341" spans="1:1" x14ac:dyDescent="0.25">
      <c r="A341" s="29"/>
    </row>
    <row r="342" spans="1:1" x14ac:dyDescent="0.25">
      <c r="A342" s="29"/>
    </row>
    <row r="343" spans="1:1" x14ac:dyDescent="0.25">
      <c r="A343" s="29"/>
    </row>
    <row r="344" spans="1:1" x14ac:dyDescent="0.25">
      <c r="A344" s="29"/>
    </row>
    <row r="345" spans="1:1" x14ac:dyDescent="0.25">
      <c r="A345" s="29"/>
    </row>
    <row r="346" spans="1:1" x14ac:dyDescent="0.25">
      <c r="A346" s="29"/>
    </row>
    <row r="347" spans="1:1" x14ac:dyDescent="0.25">
      <c r="A347" s="29"/>
    </row>
    <row r="348" spans="1:1" x14ac:dyDescent="0.25">
      <c r="A348" s="29"/>
    </row>
    <row r="349" spans="1:1" x14ac:dyDescent="0.25">
      <c r="A349" s="29"/>
    </row>
    <row r="350" spans="1:1" x14ac:dyDescent="0.25">
      <c r="A350" s="29"/>
    </row>
    <row r="351" spans="1:1" x14ac:dyDescent="0.25">
      <c r="A351" s="29"/>
    </row>
    <row r="352" spans="1:1" x14ac:dyDescent="0.25">
      <c r="A352" s="29"/>
    </row>
    <row r="353" spans="1:1" x14ac:dyDescent="0.25">
      <c r="A353" s="29"/>
    </row>
    <row r="354" spans="1:1" x14ac:dyDescent="0.25">
      <c r="A354" s="29"/>
    </row>
    <row r="355" spans="1:1" x14ac:dyDescent="0.25">
      <c r="A355" s="29"/>
    </row>
    <row r="356" spans="1:1" x14ac:dyDescent="0.25">
      <c r="A356" s="29"/>
    </row>
    <row r="357" spans="1:1" x14ac:dyDescent="0.25">
      <c r="A357" s="29"/>
    </row>
    <row r="358" spans="1:1" x14ac:dyDescent="0.25">
      <c r="A358" s="29"/>
    </row>
    <row r="359" spans="1:1" x14ac:dyDescent="0.25">
      <c r="A359" s="29"/>
    </row>
    <row r="360" spans="1:1" x14ac:dyDescent="0.25">
      <c r="A360" s="29"/>
    </row>
    <row r="361" spans="1:1" x14ac:dyDescent="0.25">
      <c r="A361" s="29"/>
    </row>
    <row r="362" spans="1:1" x14ac:dyDescent="0.25">
      <c r="A362" s="29"/>
    </row>
    <row r="363" spans="1:1" x14ac:dyDescent="0.25">
      <c r="A363" s="29"/>
    </row>
    <row r="364" spans="1:1" x14ac:dyDescent="0.25">
      <c r="A364" s="29"/>
    </row>
    <row r="365" spans="1:1" x14ac:dyDescent="0.25">
      <c r="A365" s="29"/>
    </row>
    <row r="366" spans="1:1" x14ac:dyDescent="0.25">
      <c r="A366" s="29"/>
    </row>
    <row r="367" spans="1:1" x14ac:dyDescent="0.25">
      <c r="A367" s="29"/>
    </row>
    <row r="368" spans="1:1" x14ac:dyDescent="0.25">
      <c r="A368" s="29"/>
    </row>
    <row r="369" spans="1:1" x14ac:dyDescent="0.25">
      <c r="A369" s="29"/>
    </row>
    <row r="370" spans="1:1" x14ac:dyDescent="0.25">
      <c r="A370" s="29"/>
    </row>
    <row r="371" spans="1:1" x14ac:dyDescent="0.25">
      <c r="A371" s="29"/>
    </row>
    <row r="372" spans="1:1" x14ac:dyDescent="0.25">
      <c r="A372" s="29"/>
    </row>
    <row r="373" spans="1:1" x14ac:dyDescent="0.25">
      <c r="A373" s="29"/>
    </row>
    <row r="374" spans="1:1" x14ac:dyDescent="0.25">
      <c r="A374" s="29"/>
    </row>
    <row r="375" spans="1:1" x14ac:dyDescent="0.25">
      <c r="A375" s="29"/>
    </row>
    <row r="376" spans="1:1" x14ac:dyDescent="0.25">
      <c r="A376" s="29"/>
    </row>
    <row r="377" spans="1:1" x14ac:dyDescent="0.25">
      <c r="A377" s="29"/>
    </row>
    <row r="378" spans="1:1" x14ac:dyDescent="0.25">
      <c r="A378" s="29"/>
    </row>
    <row r="379" spans="1:1" x14ac:dyDescent="0.25">
      <c r="A379" s="29"/>
    </row>
    <row r="380" spans="1:1" x14ac:dyDescent="0.25">
      <c r="A380" s="29"/>
    </row>
    <row r="381" spans="1:1" x14ac:dyDescent="0.25">
      <c r="A381" s="29"/>
    </row>
    <row r="382" spans="1:1" x14ac:dyDescent="0.25">
      <c r="A382" s="29"/>
    </row>
    <row r="383" spans="1:1" x14ac:dyDescent="0.25">
      <c r="A383" s="29"/>
    </row>
    <row r="384" spans="1:1" x14ac:dyDescent="0.25">
      <c r="A384" s="29"/>
    </row>
    <row r="385" spans="1:1" x14ac:dyDescent="0.25">
      <c r="A385" s="29"/>
    </row>
    <row r="386" spans="1:1" x14ac:dyDescent="0.25">
      <c r="A386" s="29"/>
    </row>
    <row r="387" spans="1:1" x14ac:dyDescent="0.25">
      <c r="A387" s="29"/>
    </row>
    <row r="388" spans="1:1" x14ac:dyDescent="0.25">
      <c r="A388" s="29"/>
    </row>
    <row r="389" spans="1:1" x14ac:dyDescent="0.25">
      <c r="A389" s="29"/>
    </row>
    <row r="390" spans="1:1" x14ac:dyDescent="0.25">
      <c r="A390" s="29"/>
    </row>
    <row r="391" spans="1:1" x14ac:dyDescent="0.25">
      <c r="A391" s="29"/>
    </row>
    <row r="392" spans="1:1" x14ac:dyDescent="0.25">
      <c r="A392" s="29"/>
    </row>
    <row r="393" spans="1:1" x14ac:dyDescent="0.25">
      <c r="A393" s="29"/>
    </row>
    <row r="394" spans="1:1" x14ac:dyDescent="0.25">
      <c r="A394" s="29"/>
    </row>
    <row r="395" spans="1:1" x14ac:dyDescent="0.25">
      <c r="A395" s="29"/>
    </row>
    <row r="396" spans="1:1" x14ac:dyDescent="0.25">
      <c r="A396" s="29"/>
    </row>
    <row r="397" spans="1:1" x14ac:dyDescent="0.25">
      <c r="A397" s="29"/>
    </row>
    <row r="398" spans="1:1" x14ac:dyDescent="0.25">
      <c r="A398" s="29"/>
    </row>
    <row r="399" spans="1:1" x14ac:dyDescent="0.25">
      <c r="A399" s="29"/>
    </row>
    <row r="400" spans="1:1" x14ac:dyDescent="0.25">
      <c r="A400" s="29"/>
    </row>
    <row r="401" spans="1:1" x14ac:dyDescent="0.25">
      <c r="A401" s="29"/>
    </row>
    <row r="402" spans="1:1" x14ac:dyDescent="0.25">
      <c r="A402" s="29"/>
    </row>
    <row r="403" spans="1:1" x14ac:dyDescent="0.25">
      <c r="A403" s="29"/>
    </row>
    <row r="404" spans="1:1" x14ac:dyDescent="0.25">
      <c r="A404" s="29"/>
    </row>
    <row r="405" spans="1:1" x14ac:dyDescent="0.25">
      <c r="A405" s="29"/>
    </row>
    <row r="406" spans="1:1" x14ac:dyDescent="0.25">
      <c r="A406" s="29"/>
    </row>
    <row r="407" spans="1:1" x14ac:dyDescent="0.25">
      <c r="A407" s="29"/>
    </row>
    <row r="408" spans="1:1" x14ac:dyDescent="0.25">
      <c r="A408" s="29"/>
    </row>
    <row r="409" spans="1:1" x14ac:dyDescent="0.25">
      <c r="A409" s="29"/>
    </row>
    <row r="410" spans="1:1" x14ac:dyDescent="0.25">
      <c r="A410" s="29"/>
    </row>
    <row r="411" spans="1:1" x14ac:dyDescent="0.25">
      <c r="A411" s="29"/>
    </row>
    <row r="412" spans="1:1" x14ac:dyDescent="0.25">
      <c r="A412" s="29"/>
    </row>
    <row r="413" spans="1:1" x14ac:dyDescent="0.25">
      <c r="A413" s="29"/>
    </row>
    <row r="414" spans="1:1" x14ac:dyDescent="0.25">
      <c r="A414" s="29"/>
    </row>
    <row r="415" spans="1:1" x14ac:dyDescent="0.25">
      <c r="A415" s="29"/>
    </row>
    <row r="416" spans="1:1" x14ac:dyDescent="0.25">
      <c r="A416" s="29"/>
    </row>
    <row r="417" spans="1:1" x14ac:dyDescent="0.25">
      <c r="A417" s="29"/>
    </row>
    <row r="418" spans="1:1" x14ac:dyDescent="0.25">
      <c r="A418" s="29"/>
    </row>
    <row r="419" spans="1:1" x14ac:dyDescent="0.25">
      <c r="A419" s="29"/>
    </row>
    <row r="420" spans="1:1" x14ac:dyDescent="0.25">
      <c r="A420" s="29"/>
    </row>
    <row r="421" spans="1:1" x14ac:dyDescent="0.25">
      <c r="A421" s="29"/>
    </row>
    <row r="422" spans="1:1" x14ac:dyDescent="0.25">
      <c r="A422" s="29"/>
    </row>
    <row r="423" spans="1:1" x14ac:dyDescent="0.25">
      <c r="A423" s="29"/>
    </row>
    <row r="424" spans="1:1" x14ac:dyDescent="0.25">
      <c r="A424" s="29"/>
    </row>
    <row r="425" spans="1:1" x14ac:dyDescent="0.25">
      <c r="A425" s="29"/>
    </row>
    <row r="426" spans="1:1" x14ac:dyDescent="0.25">
      <c r="A426" s="29"/>
    </row>
    <row r="427" spans="1:1" x14ac:dyDescent="0.25">
      <c r="A427" s="29"/>
    </row>
    <row r="428" spans="1:1" x14ac:dyDescent="0.25">
      <c r="A428" s="29"/>
    </row>
    <row r="429" spans="1:1" x14ac:dyDescent="0.25">
      <c r="A429" s="29"/>
    </row>
    <row r="430" spans="1:1" x14ac:dyDescent="0.25">
      <c r="A430" s="29"/>
    </row>
    <row r="431" spans="1:1" x14ac:dyDescent="0.25">
      <c r="A431" s="29"/>
    </row>
    <row r="432" spans="1:1" x14ac:dyDescent="0.25">
      <c r="A432" s="29"/>
    </row>
    <row r="433" spans="1:1" x14ac:dyDescent="0.25">
      <c r="A433" s="29"/>
    </row>
    <row r="434" spans="1:1" x14ac:dyDescent="0.25">
      <c r="A434" s="29"/>
    </row>
    <row r="435" spans="1:1" x14ac:dyDescent="0.25">
      <c r="A435" s="29"/>
    </row>
    <row r="436" spans="1:1" x14ac:dyDescent="0.25">
      <c r="A436" s="29"/>
    </row>
    <row r="437" spans="1:1" x14ac:dyDescent="0.25">
      <c r="A437" s="29"/>
    </row>
    <row r="438" spans="1:1" x14ac:dyDescent="0.25">
      <c r="A438" s="29"/>
    </row>
    <row r="439" spans="1:1" x14ac:dyDescent="0.25">
      <c r="A439" s="29"/>
    </row>
    <row r="440" spans="1:1" x14ac:dyDescent="0.25">
      <c r="A440" s="29"/>
    </row>
    <row r="441" spans="1:1" x14ac:dyDescent="0.25">
      <c r="A441" s="29"/>
    </row>
    <row r="442" spans="1:1" x14ac:dyDescent="0.25">
      <c r="A442" s="29"/>
    </row>
    <row r="443" spans="1:1" x14ac:dyDescent="0.25">
      <c r="A443" s="29"/>
    </row>
    <row r="444" spans="1:1" x14ac:dyDescent="0.25">
      <c r="A444" s="29"/>
    </row>
    <row r="445" spans="1:1" x14ac:dyDescent="0.25">
      <c r="A445" s="29"/>
    </row>
    <row r="446" spans="1:1" x14ac:dyDescent="0.25">
      <c r="A446" s="29"/>
    </row>
    <row r="447" spans="1:1" x14ac:dyDescent="0.25">
      <c r="A447" s="29"/>
    </row>
    <row r="448" spans="1:1" x14ac:dyDescent="0.25">
      <c r="A448" s="29"/>
    </row>
    <row r="449" spans="1:1" x14ac:dyDescent="0.25">
      <c r="A449" s="29"/>
    </row>
    <row r="450" spans="1:1" x14ac:dyDescent="0.25">
      <c r="A450" s="29"/>
    </row>
    <row r="451" spans="1:1" x14ac:dyDescent="0.25">
      <c r="A451" s="29"/>
    </row>
    <row r="452" spans="1:1" x14ac:dyDescent="0.25">
      <c r="A452" s="29"/>
    </row>
    <row r="453" spans="1:1" x14ac:dyDescent="0.25">
      <c r="A453" s="29"/>
    </row>
    <row r="454" spans="1:1" x14ac:dyDescent="0.25">
      <c r="A454" s="29"/>
    </row>
    <row r="455" spans="1:1" x14ac:dyDescent="0.25">
      <c r="A455" s="29"/>
    </row>
    <row r="456" spans="1:1" x14ac:dyDescent="0.25">
      <c r="A456" s="29"/>
    </row>
    <row r="457" spans="1:1" x14ac:dyDescent="0.25">
      <c r="A457" s="29"/>
    </row>
    <row r="458" spans="1:1" x14ac:dyDescent="0.25">
      <c r="A458" s="29"/>
    </row>
    <row r="459" spans="1:1" x14ac:dyDescent="0.25">
      <c r="A459" s="29"/>
    </row>
    <row r="460" spans="1:1" x14ac:dyDescent="0.25">
      <c r="A460" s="29"/>
    </row>
    <row r="461" spans="1:1" x14ac:dyDescent="0.25">
      <c r="A461" s="29"/>
    </row>
    <row r="462" spans="1:1" x14ac:dyDescent="0.25">
      <c r="A462" s="29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F136963-D288-44F3-8686-12A352BCDE1D}">
          <x14:formula1>
            <xm:f>Clients!$A$2:$A$764</xm:f>
          </x14:formula1>
          <xm:sqref>D2:D150</xm:sqref>
        </x14:dataValidation>
        <x14:dataValidation type="list" allowBlank="1" showInputMessage="1" showErrorMessage="1" xr:uid="{05F57881-DADB-4429-A2C8-B3EE4E96DC43}">
          <x14:formula1>
            <xm:f>Service_Tarifs!$B$2:$B$271</xm:f>
          </x14:formula1>
          <xm:sqref>F2:F150</xm:sqref>
        </x14:dataValidation>
        <x14:dataValidation type="list" allowBlank="1" showInputMessage="1" showErrorMessage="1" xr:uid="{A26E6F14-512B-4147-BF3B-7F8C0C15D8C2}">
          <x14:formula1>
            <xm:f>Paramètres!$H$2:$H$6</xm:f>
          </x14:formula1>
          <xm:sqref>V2:V150</xm:sqref>
        </x14:dataValidation>
        <x14:dataValidation type="list" allowBlank="1" showInputMessage="1" showErrorMessage="1" xr:uid="{301FA039-64A0-4FFC-B620-54B67A94DBFB}">
          <x14:formula1>
            <xm:f>Paramètres!$C$2:$C$10</xm:f>
          </x14:formula1>
          <xm:sqref>W2:W150</xm:sqref>
        </x14:dataValidation>
        <x14:dataValidation type="list" allowBlank="1" showInputMessage="1" showErrorMessage="1" xr:uid="{753A539C-106E-452E-A521-34FCC87B67CC}">
          <x14:formula1>
            <xm:f>Paramètres!$G$2:$G$5</xm:f>
          </x14:formula1>
          <xm:sqref>E2:E150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92AB56-7D50-4F6A-BC84-B5FB863540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Clients</vt:lpstr>
      <vt:lpstr>Service_Tarifs</vt:lpstr>
      <vt:lpstr>Paramètres</vt:lpstr>
      <vt:lpstr>Dashboard</vt:lpstr>
      <vt:lpstr>Devis</vt:lpstr>
      <vt:lpstr>Paiement</vt:lpstr>
      <vt:lpstr>BL</vt:lpstr>
      <vt:lpstr>BR</vt:lpstr>
      <vt:lpstr>Stock</vt:lpstr>
      <vt:lpstr>Factures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Louisin Fianara</dc:creator>
  <cp:lastModifiedBy>Louisin Fianara</cp:lastModifiedBy>
  <dcterms:created xsi:type="dcterms:W3CDTF">2026-09-26T17:37:20Z</dcterms:created>
  <dcterms:modified xsi:type="dcterms:W3CDTF">2026-10-01T07:43:24Z</dcterms:modified>
</cp:coreProperties>
</file>